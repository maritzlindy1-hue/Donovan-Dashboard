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1e4f3052c064eab" /></Relationships>
</file>

<file path=xl/workbook.xml><?xml version="1.0" encoding="utf-8"?>
<x:workbook xmlns:x="http://schemas.openxmlformats.org/spreadsheetml/2006/main">
  <x:sheets>
    <x:sheet xmlns:r="http://schemas.openxmlformats.org/officeDocument/2006/relationships" name="Report Job Card List" sheetId="1" r:id="R05d4386aaae64c15"/>
    <x:sheet xmlns:r="http://schemas.openxmlformats.org/officeDocument/2006/relationships" name="Dashboard" sheetId="2" r:id="Rc800aa1705294699"/>
    <x:sheet xmlns:r="http://schemas.openxmlformats.org/officeDocument/2006/relationships" name="Donovan Live Tracker" sheetId="3" r:id="R5497780bad974da8"/>
    <x:sheet xmlns:r="http://schemas.openxmlformats.org/officeDocument/2006/relationships" name="KPI Rules" sheetId="4" r:id="R31d99fc62b5848d1"/>
  </x:sheets>
</x:workbook>
</file>

<file path=xl/sharedStrings.xml><?xml version="1.0" encoding="utf-8"?>
<x:sst xmlns:x="http://schemas.openxmlformats.org/spreadsheetml/2006/main">
  <x:si>
    <x:t xml:space="preserve">Store Name</x:t>
  </x:si>
  <x:si>
    <x:t xml:space="preserve">Job Number</x:t>
  </x:si>
  <x:si>
    <x:t xml:space="preserve">Customer</x:t>
  </x:si>
  <x:si>
    <x:t xml:space="preserve">Customer Code</x:t>
  </x:si>
  <x:si>
    <x:t xml:space="preserve">Account Manager</x:t>
  </x:si>
  <x:si>
    <x:t xml:space="preserve">Contact</x:t>
  </x:si>
  <x:si>
    <x:t xml:space="preserve">Email</x:t>
  </x:si>
  <x:si>
    <x:t xml:space="preserve">Mobile</x:t>
  </x:si>
  <x:si>
    <x:t xml:space="preserve">Job Type</x:t>
  </x:si>
  <x:si>
    <x:t xml:space="preserve">Description</x:t>
  </x:si>
  <x:si>
    <x:t xml:space="preserve">Reference Number</x:t>
  </x:si>
  <x:si>
    <x:t xml:space="preserve">Location</x:t>
  </x:si>
  <x:si>
    <x:t xml:space="preserve">Start Date</x:t>
  </x:si>
  <x:si>
    <x:t xml:space="preserve">Days Overall</x:t>
  </x:si>
  <x:si>
    <x:t xml:space="preserve">Days In Status</x:t>
  </x:si>
  <x:si>
    <x:t xml:space="preserve">Job Status</x:t>
  </x:si>
  <x:si>
    <x:t xml:space="preserve">Status Date</x:t>
  </x:si>
  <x:si>
    <x:t xml:space="preserve">Job Card Previous</x:t>
  </x:si>
  <x:si>
    <x:t xml:space="preserve">Quote Number</x:t>
  </x:si>
  <x:si>
    <x:t xml:space="preserve">Quote Amount</x:t>
  </x:si>
  <x:si>
    <x:t xml:space="preserve">Linked Quotes</x:t>
  </x:si>
  <x:si>
    <x:t xml:space="preserve">Invoice Number</x:t>
  </x:si>
  <x:si>
    <x:t xml:space="preserve">Invoice Amount</x:t>
  </x:si>
  <x:si>
    <x:t xml:space="preserve">Purchase Order Number</x:t>
  </x:si>
  <x:si>
    <x:t xml:space="preserve">Customer Assets</x:t>
  </x:si>
  <x:si>
    <x:t xml:space="preserve">Customer Asset Codes</x:t>
  </x:si>
  <x:si>
    <x:t xml:space="preserve">Serial No</x:t>
  </x:si>
  <x:si>
    <x:t xml:space="preserve">Materials</x:t>
  </x:si>
  <x:si>
    <x:t xml:space="preserve">Assigned To</x:t>
  </x:si>
  <x:si>
    <x:t xml:space="preserve">Fault Codes</x:t>
  </x:si>
  <x:si>
    <x:t xml:space="preserve">Fault Causes</x:t>
  </x:si>
  <x:si>
    <x:t xml:space="preserve">Fault Reasons</x:t>
  </x:si>
  <x:si>
    <x:t xml:space="preserve">Custom Field 1</x:t>
  </x:si>
  <x:si>
    <x:t xml:space="preserve">Custom Field 2</x:t>
  </x:si>
  <x:si>
    <x:t xml:space="preserve">Custom Field 3</x:t>
  </x:si>
  <x:si>
    <x:t xml:space="preserve">Custom Field 4</x:t>
  </x:si>
  <x:si>
    <x:t xml:space="preserve">Custom Filter 1</x:t>
  </x:si>
  <x:si>
    <x:t xml:space="preserve">Custom Filter 2</x:t>
  </x:si>
  <x:si>
    <x:t xml:space="preserve">Custom Date 1</x:t>
  </x:si>
  <x:si>
    <x:t xml:space="preserve">Custom Date 2</x:t>
  </x:si>
  <x:si>
    <x:t xml:space="preserve">Custom Number 1</x:t>
  </x:si>
  <x:si>
    <x:t xml:space="preserve">Custom Number 2</x:t>
  </x:si>
  <x:si>
    <x:t xml:space="preserve">Closed</x:t>
  </x:si>
  <x:si>
    <x:t xml:space="preserve">Status Flow</x:t>
  </x:si>
  <x:si>
    <x:t xml:space="preserve">Queries</x:t>
  </x:si>
  <x:si>
    <x:t xml:space="preserve">Is Active</x:t>
  </x:si>
  <x:si>
    <x:t xml:space="preserve">Created Date</x:t>
  </x:si>
  <x:si>
    <x:t xml:space="preserve">Created By</x:t>
  </x:si>
  <x:si>
    <x:t xml:space="preserve">Modified By</x:t>
  </x:si>
  <x:si>
    <x:t xml:space="preserve">Modified Date</x:t>
  </x:si>
  <x:si>
    <x:t xml:space="preserve">Republic Energy &amp; Metering (Pty) Ltd</x:t>
  </x:si>
  <x:si>
    <x:t xml:space="preserve">JC10061</x:t>
  </x:si>
  <x:si>
    <x:t xml:space="preserve">BKB</x:t>
  </x:si>
  <x:si>
    <x:t xml:space="preserve">CS10048</x:t>
  </x:si>
  <x:si>
    <x:t xml:space="preserve">54</x:t>
  </x:si>
  <x:si>
    <x:t xml:space="preserve">Pauline Gerber</x:t>
  </x:si>
  <x:si>
    <x:t xml:space="preserve">pauline.gerber@bkb.co.za</x:t>
  </x:si>
  <x:si>
    <x:t xml:space="preserve">FF_Fault Fix Water (Lora/Visio)</x:t>
  </x:si>
  <x:si>
    <x:t xml:space="preserve">Meter #1181702 has stopped comms.</x:t>
  </x:si>
  <x:si>
    <x:t xml:space="preserve">BKB, BKB Building, 61 Grahamstown Rd, North End (Deon)</x:t>
  </x:si>
  <x:si>
    <x:t xml:space="preserve">2025-11-03 09:30:00</x:t>
  </x:si>
  <x:si>
    <x:t xml:space="preserve">FF10A_PT_Awaiting install by client's techie</x:t>
  </x:si>
  <x:si>
    <x:t xml:space="preserve">2026-03-23 08:59:48</x:t>
  </x:si>
  <x:si>
    <x:t xml:space="preserve">QU3404, QU3454</x:t>
  </x:si>
  <x:si>
    <x:t xml:space="preserve">Existing-150 mm Water Meter [1181702], FlowIQ® 4200 Q3 250 m³/h, DN150 x 300mm, PN16, Cold. linkIQ/Wireless M-Bus [54257692]</x:t>
  </x:si>
  <x:si>
    <x:t xml:space="preserve">Existing-150 mm Water Meter, 02E-65-GCAR-8ZA</x:t>
  </x:si>
  <x:si>
    <x:t xml:space="preserve">1181702, 54257692</x:t>
  </x:si>
  <x:si>
    <x:t xml:space="preserve">FlowIQ® 4200 Q3 250 m³/h, DN150 x 300mm, PN16, Cold. linkIQ/Wireless M-Bus</x:t>
  </x:si>
  <x:si>
    <x:t xml:space="preserve">Donovan Willemse</x:t>
  </x:si>
  <x:si>
    <x:t xml:space="preserve">Sprinklers</x:t>
  </x:si>
  <x:si>
    <x:t xml:space="preserve">2025-11-01 00:00:00</x:t>
  </x:si>
  <x:si>
    <x:t xml:space="preserve">2025-11-03 00:00:00</x:t>
  </x:si>
  <x:si>
    <x:t xml:space="preserve">FF01_BT_Fault picked up &gt; FF02.1_PT_Troubleshoot Remotely &gt; FF03.1_PT_Awaiting Client Feedback &gt; FF04.1_FT_Quote population &gt; FF04.2_FT_Quote to Approve Internal &gt; FF05_FT_Quote Amend/Send &gt; FF06_FT_Quote Sent Awaiting Customer Approval &gt; FF09.2_LT_Job Approved Send Stock &gt; FF10A_PT_Awaiting install by client's techie</x:t>
  </x:si>
  <x:si>
    <x:t xml:space="preserve">TRUE</x:t>
  </x:si>
  <x:si>
    <x:t xml:space="preserve">2025-11-03 09:29:59</x:t>
  </x:si>
  <x:si>
    <x:t xml:space="preserve">jamie@republicmetering.co.za</x:t>
  </x:si>
  <x:si>
    <x:t xml:space="preserve">info@republicmetering.co.za</x:t>
  </x:si>
  <x:si>
    <x:t xml:space="preserve">JC10062</x:t>
  </x:si>
  <x:si>
    <x:t xml:space="preserve">Meter #C-WRA0702 - ladies Cloakroom is showing no consumption.</x:t>
  </x:si>
  <x:si>
    <x:t xml:space="preserve">2025-11-03 14:55:49</x:t>
  </x:si>
  <x:si>
    <x:t xml:space="preserve">2026-03-03 15:26:54</x:t>
  </x:si>
  <x:si>
    <x:t xml:space="preserve">QU3171, QU3431</x:t>
  </x:si>
  <x:si>
    <x:t xml:space="preserve">Existing-20mm Water Meter [C-WRA0702], Existing-25mm Water Meter [C-BJK0742], Existing-150 mm Water Meter [1181702]</x:t>
  </x:si>
  <x:si>
    <x:t xml:space="preserve">Existing-20mm Water Meter, Existing-25mm Water Meter, Existing-150 mm Water Meter</x:t>
  </x:si>
  <x:si>
    <x:t xml:space="preserve">C-WRA0702, C-BJK0742, 1181702</x:t>
  </x:si>
  <x:si>
    <x:t xml:space="preserve">Kamstrup FlowIQ2200 Qp2,5m3/h,G1B(R¾)X130MM DN20,pN16</x:t>
  </x:si>
  <x:si>
    <x:t xml:space="preserve">Ladies cloakroom and Retail Store</x:t>
  </x:si>
  <x:si>
    <x:t xml:space="preserve">FF01_BT_Fault picked up &gt; FF03.1_PT_Awaiting Client Feedback &gt; FF04.1_FT_Quote population &gt; FF06_FT_Quote Sent Awaiting Customer Approval &gt; FF09.2_LT_Job Approved Send Stock &gt; FF10A_PT_Awaiting install by client's techie</x:t>
  </x:si>
  <x:si>
    <x:t xml:space="preserve">donovan@republicmetering.co.za</x:t>
  </x:si>
  <x:si>
    <x:t xml:space="preserve">2026-03-18 06:16:50</x:t>
  </x:si>
  <x:si>
    <x:t xml:space="preserve">JC10170</x:t>
  </x:si>
  <x:si>
    <x:t xml:space="preserve">Value Logistics (Pty) Ltd</x:t>
  </x:si>
  <x:si>
    <x:t xml:space="preserve">CS10289</x:t>
  </x:si>
  <x:si>
    <x:t xml:space="preserve">Eugene Blanche</x:t>
  </x:si>
  <x:si>
    <x:t xml:space="preserve">eugeneb@wonderlandprop.co.za</x:t>
  </x:si>
  <x:si>
    <x:t xml:space="preserve">FF_Fault Fix Kamstrup Server Meter (Elec/Wat)</x:t>
  </x:si>
  <x:si>
    <x:t xml:space="preserve">The meter has stopped communicating with us, checked the sim and it is also Offline</x:t>
  </x:si>
  <x:si>
    <x:t xml:space="preserve">Nelspruit Value Logistics 32 Wilken St Rocky Drift Mbombela</x:t>
  </x:si>
  <x:si>
    <x:t xml:space="preserve">2026-01-06 14:27:09</x:t>
  </x:si>
  <x:si>
    <x:t xml:space="preserve">FF10B_PT_Schedule REM Tech installation/commission</x:t>
  </x:si>
  <x:si>
    <x:t xml:space="preserve">2026-05-19 09:27:03</x:t>
  </x:si>
  <x:si>
    <x:t xml:space="preserve">Kamstrup Omnipower V2 Three Phase CT Connect 5 Amp [35726986]</x:t>
  </x:si>
  <x:si>
    <x:t xml:space="preserve">685-11-355-D24-0111-120</x:t>
  </x:si>
  <x:si>
    <x:t xml:space="preserve">35726986</x:t>
  </x:si>
  <x:si>
    <x:t xml:space="preserve">Donovan Willemse, Lindy Maritz</x:t>
  </x:si>
  <x:si>
    <x:t xml:space="preserve">Muni check</x:t>
  </x:si>
  <x:si>
    <x:t xml:space="preserve">2025-12-24 00:00:00</x:t>
  </x:si>
  <x:si>
    <x:t xml:space="preserve">2026-01-30 00:00:00</x:t>
  </x:si>
  <x:si>
    <x:t xml:space="preserve">FF01_BT_Fault picked up &gt; FF02.1_PT_Troubleshoot Remotely &gt; FF03.1_PT_Awaiting Client Feedback &gt; FF10B_PT_Schedule REM Tech installation/commission</x:t>
  </x:si>
  <x:si>
    <x:t xml:space="preserve">REM - Work in Progress Warehouse</x:t>
  </x:si>
  <x:si>
    <x:t xml:space="preserve">JC10204</x:t>
  </x:si>
  <x:si>
    <x:t xml:space="preserve">Summerpride Foods (Pty) Ltd</x:t>
  </x:si>
  <x:si>
    <x:t xml:space="preserve">CS10255</x:t>
  </x:si>
  <x:si>
    <x:t xml:space="preserve">David Mandell</x:t>
  </x:si>
  <x:si>
    <x:t xml:space="preserve">dave@summerpride.co.za</x:t>
  </x:si>
  <x:si>
    <x:t xml:space="preserve">IN_Electrical Install (Client subbie)</x:t>
  </x:si>
  <x:si>
    <x:t xml:space="preserve">Site Retrofit
SPF is doing a retrofit and installing new Kamstrup meters to go on a DC. We are commissioning the meters. Old JC 589961 passed on to close.</x:t>
  </x:si>
  <x:si>
    <x:t xml:space="preserve">Summerpride 2 Burgersdorp Road Gately Extension East London</x:t>
  </x:si>
  <x:si>
    <x:t xml:space="preserve">2026-01-14 10:35:31</x:t>
  </x:si>
  <x:si>
    <x:t xml:space="preserve">IN11.2_PT_Schedule REM Tech installation/commission</x:t>
  </x:si>
  <x:si>
    <x:t xml:space="preserve">2026-04-14 12:41:24</x:t>
  </x:si>
  <x:si>
    <x:t xml:space="preserve">QU3192</x:t>
  </x:si>
  <x:si>
    <x:t xml:space="preserve">Donovan Willemse, Justin Bezuidenhout</x:t>
  </x:si>
  <x:si>
    <x:t xml:space="preserve">SI01_PT_Job Loaded &gt; SI03.1_PT_Inspection Capture Info &gt; IN11.1_PT_Awaiting install by client &gt; IN11.2_PT_Schedule REM Tech installation/commission</x:t>
  </x:si>
  <x:si>
    <x:t xml:space="preserve">JC10214</x:t>
  </x:si>
  <x:si>
    <x:t xml:space="preserve">Lora is recording zero consumption now, it must be faulty. Will have to quote to replace</x:t>
  </x:si>
  <x:si>
    <x:t xml:space="preserve">BKB BKB Building 61 Grahamstown Rd North End (Deon)</x:t>
  </x:si>
  <x:si>
    <x:t xml:space="preserve">2026-01-15 15:41:57</x:t>
  </x:si>
  <x:si>
    <x:t xml:space="preserve">2026-01-19 10:19:14</x:t>
  </x:si>
  <x:si>
    <x:t xml:space="preserve">Existing-Unknown Water Meter [C-BJA1104], Kamstrup DN20 Multical21 Composite 130mm cold water 2.5kl/h WM-Bus [76609168]</x:t>
  </x:si>
  <x:si>
    <x:t xml:space="preserve">Existing-Unknown Water Meter, 021-40-C04-894</x:t>
  </x:si>
  <x:si>
    <x:t xml:space="preserve">C-BJA1104, 76609168</x:t>
  </x:si>
  <x:si>
    <x:t xml:space="preserve">Gun Shop</x:t>
  </x:si>
  <x:si>
    <x:t xml:space="preserve">FF01_BT_Fault picked up &gt; FF10A_PT_Awaiting install by client's techie</x:t>
  </x:si>
  <x:si>
    <x:t xml:space="preserve">2026-01-15 15:41:58</x:t>
  </x:si>
  <x:si>
    <x:t xml:space="preserve">2026-03-19 12:48:10</x:t>
  </x:si>
  <x:si>
    <x:t xml:space="preserve">JC10223</x:t>
  </x:si>
  <x:si>
    <x:t xml:space="preserve">Richard and Roys Properties (Pty) Ltd</x:t>
  </x:si>
  <x:si>
    <x:t xml:space="preserve">CS10740</x:t>
  </x:si>
  <x:si>
    <x:t xml:space="preserve">Shaun Xiao</x:t>
  </x:si>
  <x:si>
    <x:t xml:space="preserve">pengfeizhiyi@hotmail.com</x:t>
  </x:si>
  <x:si>
    <x:t xml:space="preserve">0729701128</x:t>
  </x:si>
  <x:si>
    <x:t xml:space="preserve">IN_Electrical Install (REM Subbie)</x:t>
  </x:si>
  <x:si>
    <x:t xml:space="preserve">Good afternoon Donovan, 
We have a total of 3 new retail stores to be metered, please see the following information as requested: 
Shop 5A - 420 Corner (This is where the two ATM's has been renovated into one shop) 
We would like to use the meter labelled as Nedbank (Ref: 1214131129245) for the new shop, This new shop is located in the space of Nedbank and ABSA combined. 
Please remove the ABSA meter (Ref: 34619130) completely as that meter will no longer be in use. 
Shop 10 - Salon Shop 
Shop 11A - Shah cell phone and accessories</x:t>
  </x:si>
  <x:si>
    <x:t xml:space="preserve">Stanford Square Shopping Centre 45 Cottrell Street Kortsen Port Elizabeth</x:t>
  </x:si>
  <x:si>
    <x:t xml:space="preserve">2026-01-19 10:35:49</x:t>
  </x:si>
  <x:si>
    <x:t xml:space="preserve">SI07_FT_Quote Sent Awaiting Customer Approval</x:t>
  </x:si>
  <x:si>
    <x:t xml:space="preserve">2026-03-13 12:44:03</x:t>
  </x:si>
  <x:si>
    <x:t xml:space="preserve">QU3447</x:t>
  </x:si>
  <x:si>
    <x:t xml:space="preserve">AS230 Single Phase Meter [13112924], Kamstrup Omnipower V2 Single Phase Direct Connect 100 Amp Symmetrical Terminals No Battery [34619130]</x:t>
  </x:si>
  <x:si>
    <x:t xml:space="preserve">EL-AS230, 686-12-111-N24-3101-120</x:t>
  </x:si>
  <x:si>
    <x:t xml:space="preserve">13112924, 34619130</x:t>
  </x:si>
  <x:si>
    <x:t xml:space="preserve">Donovan Willemse, Jamie-Lee Ocks, Sean Knoetze, Zoë Wille</x:t>
  </x:si>
  <x:si>
    <x:t xml:space="preserve">SI01_PT_Job Loaded &gt; SI04_FT_Quote Population &gt; SI01_PT_Job Loaded &gt; SI03.1_PT_Inspection Capture Info &gt; SI04_FT_Quote Population &gt; SI05_FT_Quote Review &gt; SI06_FT_Quote Amend/Send &gt; SI07_FT_Quote Sent Awaiting Customer Approval</x:t>
  </x:si>
  <x:si>
    <x:t xml:space="preserve">2026-01-19 10:35:50</x:t>
  </x:si>
  <x:si>
    <x:t xml:space="preserve">zoe@republicmetering.co.za</x:t>
  </x:si>
  <x:si>
    <x:t xml:space="preserve">JC10287</x:t>
  </x:si>
  <x:si>
    <x:t xml:space="preserve">Inofort Proprietary Limited [Coventry Works]</x:t>
  </x:si>
  <x:si>
    <x:t xml:space="preserve">CS10127</x:t>
  </x:si>
  <x:si>
    <x:t xml:space="preserve">Chane Du Plessis</x:t>
  </x:si>
  <x:si>
    <x:t xml:space="preserve">cduplessis@inospace.com</x:t>
  </x:si>
  <x:si>
    <x:t xml:space="preserve">Charné requested a quote for 2x Kamstrup meters. They are in the process of splitting Units 9 &amp; 10. Meters to be installed inside each unit.</x:t>
  </x:si>
  <x:si>
    <x:t xml:space="preserve">Coventry Works 675 Old Pretoria Rd, Halfway House, Midrand</x:t>
  </x:si>
  <x:si>
    <x:t xml:space="preserve">2026-02-03 09:25:47</x:t>
  </x:si>
  <x:si>
    <x:t xml:space="preserve">2026-02-05 08:31:46</x:t>
  </x:si>
  <x:si>
    <x:t xml:space="preserve">QU3327</x:t>
  </x:si>
  <x:si>
    <x:t xml:space="preserve">Donovan Willemse, Zoë Wille</x:t>
  </x:si>
  <x:si>
    <x:t xml:space="preserve">SI01_PT_Job Loaded &gt; SI04_FT_Quote Population &gt; SI06_FT_Quote Amend/Send &gt; SI07_FT_Quote Sent Awaiting Customer Approval</x:t>
  </x:si>
  <x:si>
    <x:t xml:space="preserve">2026-04-24 12:58:51</x:t>
  </x:si>
  <x:si>
    <x:t xml:space="preserve">JC10299</x:t>
  </x:si>
  <x:si>
    <x:t xml:space="preserve">Thermelec</x:t>
  </x:si>
  <x:si>
    <x:t xml:space="preserve">CS10275</x:t>
  </x:si>
  <x:si>
    <x:t xml:space="preserve">Mike Windsor</x:t>
  </x:si>
  <x:si>
    <x:t xml:space="preserve">mike@thermelec.co.za</x:t>
  </x:si>
  <x:si>
    <x:t xml:space="preserve">0827840191</x:t>
  </x:si>
  <x:si>
    <x:t xml:space="preserve">Mike Windsor requested a quote on meters and modems. Meters will be installed by them. We will commission once all the meters are installed. 
Billing entity will be Khan Property Group and the quote is to go to Thermelec.
Please see completed BOQ form.</x:t>
  </x:si>
  <x:si>
    <x:t xml:space="preserve">Site Manager 13 Sidon Rd North End Gqeberha</x:t>
  </x:si>
  <x:si>
    <x:t xml:space="preserve">2026-02-06 11:42:00</x:t>
  </x:si>
  <x:si>
    <x:t xml:space="preserve">2026-02-06 14:18:09</x:t>
  </x:si>
  <x:si>
    <x:t xml:space="preserve">QU3334, QU3350</x:t>
  </x:si>
  <x:si>
    <x:t xml:space="preserve">SI01_PT_Job Loaded &gt; SI04_FT_Quote Population &gt; SI07_FT_Quote Sent Awaiting Customer Approval</x:t>
  </x:si>
  <x:si>
    <x:t xml:space="preserve">2026-02-06 14:18:10</x:t>
  </x:si>
  <x:si>
    <x:t xml:space="preserve">JC10313</x:t>
  </x:si>
  <x:si>
    <x:t xml:space="preserve">Hi Zoë
I trust you are well.
We require a cost quote for a demand meter at Value Express, 87 Maple Rd, Pomona.
The quote is for a meter only plus modem.
Please set up the meter for 500/5 CT’s .
Please include forwarding cost.
We will install and then liaise with Herloux on the day to ensure the meter is set up correctly.
I will send through the meter name details for adding to our meter list.</x:t>
  </x:si>
  <x:si>
    <x:t xml:space="preserve">Value Express 87 Maple Rd Pomona AH, Kempton Park, 1619</x:t>
  </x:si>
  <x:si>
    <x:t xml:space="preserve">2026-02-10 08:32:15</x:t>
  </x:si>
  <x:si>
    <x:t xml:space="preserve">IN11.1_PT_Awaiting install by client</x:t>
  </x:si>
  <x:si>
    <x:t xml:space="preserve">2026-03-31 10:07:57</x:t>
  </x:si>
  <x:si>
    <x:t xml:space="preserve">QU3342</x:t>
  </x:si>
  <x:si>
    <x:t xml:space="preserve">Kamstrup Omnipower V2 Three Phase CT Connect 5 Amp [36823745], Riecktron M2M Kamstrup Plug In Modem (incl antenna) [MSK93970]</x:t>
  </x:si>
  <x:si>
    <x:t xml:space="preserve">685-11-355-D24-0111-120, M2M-MSK-A1</x:t>
  </x:si>
  <x:si>
    <x:t xml:space="preserve">36823745, MSK93970</x:t>
  </x:si>
  <x:si>
    <x:t xml:space="preserve">Kamstrup Omnipower V2 Three Phase CT Connect 5 Amp, Riecktron M2M Kamstrup Plug In Modem (incl antenna), Antennas</x:t>
  </x:si>
  <x:si>
    <x:t xml:space="preserve">Donovan Willemse, Kyle de Agrella</x:t>
  </x:si>
  <x:si>
    <x:t xml:space="preserve">SI01_PT_Job Loaded &gt; SI04_FT_Quote Population &gt; SI05_FT_Quote Review &gt; SI06_FT_Quote Amend/Send &gt; SI07_FT_Quote Sent Awaiting Customer Approval &gt; IN10_LT_ Job Approved Send Stock &gt; IN11.1_PT_Awaiting install by client</x:t>
  </x:si>
  <x:si>
    <x:t xml:space="preserve">kyle@republicmetering.co.za</x:t>
  </x:si>
  <x:si>
    <x:t xml:space="preserve">2026-05-07 08:11:05</x:t>
  </x:si>
  <x:si>
    <x:t xml:space="preserve">JC10322</x:t>
  </x:si>
  <x:si>
    <x:t xml:space="preserve">Prosperito Residential Fund (Pty) Ltd t/a The Grand Res</x:t>
  </x:si>
  <x:si>
    <x:t xml:space="preserve">CS10218</x:t>
  </x:si>
  <x:si>
    <x:t xml:space="preserve">Melinda Botha</x:t>
  </x:si>
  <x:si>
    <x:t xml:space="preserve">admin@thegrandres.co.za</x:t>
  </x:si>
  <x:si>
    <x:t xml:space="preserve">Quotation required for 5x Single phase meters with 5x internal modems.</x:t>
  </x:si>
  <x:si>
    <x:t xml:space="preserve">Grand Res 31 High St Makhanda</x:t>
  </x:si>
  <x:si>
    <x:t xml:space="preserve">2026-02-12 05:11:35</x:t>
  </x:si>
  <x:si>
    <x:t xml:space="preserve">2026-02-12 12:46:34</x:t>
  </x:si>
  <x:si>
    <x:t xml:space="preserve">QU3349</x:t>
  </x:si>
  <x:si>
    <x:t xml:space="preserve">SI01_PT_Job Loaded &gt; SI04_FT_Quote Population &gt; SI05_FT_Quote Review &gt; SI06_FT_Quote Amend/Send &gt; SI07_FT_Quote Sent Awaiting Customer Approval</x:t>
  </x:si>
  <x:si>
    <x:t xml:space="preserve">2026-02-12 05:11:36</x:t>
  </x:si>
  <x:si>
    <x:t xml:space="preserve">JC10324</x:t>
  </x:si>
  <x:si>
    <x:t xml:space="preserve">The meter for the Retail store has stopped calling in. This is just to open a new JC on Servcraft, centricity ref 593512. Visio nr #00C86A07</x:t>
  </x:si>
  <x:si>
    <x:t xml:space="preserve">2026-02-12 16:18:55</x:t>
  </x:si>
  <x:si>
    <x:t xml:space="preserve">2026-03-03 15:27:43</x:t>
  </x:si>
  <x:si>
    <x:t xml:space="preserve">Existing-25mm Water Meter [C-BJK0742]</x:t>
  </x:si>
  <x:si>
    <x:t xml:space="preserve">Existing-25mm Water Meter</x:t>
  </x:si>
  <x:si>
    <x:t xml:space="preserve">C-BJK0742</x:t>
  </x:si>
  <x:si>
    <x:t xml:space="preserve">BKB Retail Store</x:t>
  </x:si>
  <x:si>
    <x:t xml:space="preserve">2026-01-05 00:00:00</x:t>
  </x:si>
  <x:si>
    <x:t xml:space="preserve">FF01_BT_Fault picked up &gt; FF02.1_PT_Troubleshoot Remotely &gt; FF04.1_FT_Quote population &gt; FF06_FT_Quote Sent Awaiting Customer Approval &gt; FF09.2_LT_Job Approved Send Stock &gt; FF10A_PT_Awaiting install by client's techie</x:t>
  </x:si>
  <x:si>
    <x:t xml:space="preserve">2026-02-12 16:18:56</x:t>
  </x:si>
  <x:si>
    <x:t xml:space="preserve">2026-03-10 11:16:27</x:t>
  </x:si>
  <x:si>
    <x:t xml:space="preserve">JC10331</x:t>
  </x:si>
  <x:si>
    <x:t xml:space="preserve">West Street Management (Pty) Ltd</x:t>
  </x:si>
  <x:si>
    <x:t xml:space="preserve">CS10298</x:t>
  </x:si>
  <x:si>
    <x:t xml:space="preserve">Sharol Street Management (Pty) Ltd</x:t>
  </x:si>
  <x:si>
    <x:t xml:space="preserve">weststreet.collections@gmail.com</x:t>
  </x:si>
  <x:si>
    <x:t xml:space="preserve">0718395901</x:t>
  </x:si>
  <x:si>
    <x:t xml:space="preserve">Customer notified us our readings are out. The lora has recorded no consumption</x:t>
  </x:si>
  <x:si>
    <x:t xml:space="preserve">Webbing Products 54 Paterson Road North End Gqebhera</x:t>
  </x:si>
  <x:si>
    <x:t xml:space="preserve">2026-02-13 12:50:58</x:t>
  </x:si>
  <x:si>
    <x:t xml:space="preserve">FF06_FT_Quote Sent Awaiting Customer Approval</x:t>
  </x:si>
  <x:si>
    <x:t xml:space="preserve">2026-02-17 14:15:56</x:t>
  </x:si>
  <x:si>
    <x:t xml:space="preserve">QU3357</x:t>
  </x:si>
  <x:si>
    <x:t xml:space="preserve">Existing-80mm Water Meter [341222], Existing-80mm Water Meter [11W715698], Existing-Unknown Water Meter [181162216]</x:t>
  </x:si>
  <x:si>
    <x:t xml:space="preserve">Existing-80mm Water Meter, Existing-80mm Water Meter, Existing-Unknown Water Meter</x:t>
  </x:si>
  <x:si>
    <x:t xml:space="preserve">341222, 11W715698, 181162216</x:t>
  </x:si>
  <x:si>
    <x:t xml:space="preserve">Main 1, main 2, unit 2</x:t>
  </x:si>
  <x:si>
    <x:t xml:space="preserve">2026-02-13 00:00:00</x:t>
  </x:si>
  <x:si>
    <x:t xml:space="preserve">2026-05-13 00:00:00</x:t>
  </x:si>
  <x:si>
    <x:t xml:space="preserve">FF01_BT_Fault picked up &gt; FF02.1_PT_Troubleshoot Remotely &gt; FF04.1_FT_Quote population &gt; FF04.2_FT_Quote to Approve Internal &gt; FF05_FT_Quote Amend/Send &gt; FF06_FT_Quote Sent Awaiting Customer Approval</x:t>
  </x:si>
  <x:si>
    <x:t xml:space="preserve">joanne@republicmetering.co.za</x:t>
  </x:si>
  <x:si>
    <x:t xml:space="preserve">2026-04-29 11:38:21</x:t>
  </x:si>
  <x:si>
    <x:t xml:space="preserve">JC10332</x:t>
  </x:si>
  <x:si>
    <x:t xml:space="preserve">Vestspruit Suites (Pty) Ltd</x:t>
  </x:si>
  <x:si>
    <x:t xml:space="preserve">CS10294</x:t>
  </x:si>
  <x:si>
    <x:t xml:space="preserve">Deon Bekker</x:t>
  </x:si>
  <x:si>
    <x:t xml:space="preserve">dbecker@trueprop.co.za</x:t>
  </x:si>
  <x:si>
    <x:t xml:space="preserve">Please arrange for a quote to install a muni check meter.
9 Galaxy Ave, Frankenwald, Sandton, 2090
Fresenius Medical Care
Deon Becker
Facilities Manager
Email: DBecker@trueprop.co.za
Cel: +27 (0) 73 860 1128
Tel: +27 (0) 11 486 4970
Web: www.trueprop.co.za</x:t>
  </x:si>
  <x:si>
    <x:t xml:space="preserve">Fresenius Medical Care 9 Galaxy Ave Frankenwald Sandton</x:t>
  </x:si>
  <x:si>
    <x:t xml:space="preserve">2026-02-13 13:40:22</x:t>
  </x:si>
  <x:si>
    <x:t xml:space="preserve">SI03.1_PT_Inspection Capture Info</x:t>
  </x:si>
  <x:si>
    <x:t xml:space="preserve">2026-03-26 13:02:36</x:t>
  </x:si>
  <x:si>
    <x:t xml:space="preserve">Donovan Willemse, Joanne Kumm</x:t>
  </x:si>
  <x:si>
    <x:t xml:space="preserve">SI01_PT_Job Loaded &gt; SI03.1_PT_Inspection Capture Info</x:t>
  </x:si>
  <x:si>
    <x:t xml:space="preserve">JC10336</x:t>
  </x:si>
  <x:si>
    <x:t xml:space="preserve">IN_Water Install (Client is installing)</x:t>
  </x:si>
  <x:si>
    <x:t xml:space="preserve">Mike reached out to AE for a quote: (Supply and commission only)
Qtys provided as per AE:
60x gateways
50x Dn20s
1x DN50
10x Pit antennas
60x hrs commissioning fee
(Full list price)
No Site Inspection</x:t>
  </x:si>
  <x:si>
    <x:t xml:space="preserve">Unknown P O Box 5141 Walmer</x:t>
  </x:si>
  <x:si>
    <x:t xml:space="preserve">2026-02-16 09:29:46</x:t>
  </x:si>
  <x:si>
    <x:t xml:space="preserve">2026-02-16 12:39:35</x:t>
  </x:si>
  <x:si>
    <x:t xml:space="preserve">QU3353</x:t>
  </x:si>
  <x:si>
    <x:t xml:space="preserve">SI01_PT_Job Loaded &gt; SI05_FT_Quote Review &gt; SI06_FT_Quote Amend/Send &gt; SI07_FT_Quote Sent Awaiting Customer Approval</x:t>
  </x:si>
  <x:si>
    <x:t xml:space="preserve">2026-03-09 11:47:46</x:t>
  </x:si>
  <x:si>
    <x:t xml:space="preserve">JC10343</x:t>
  </x:si>
  <x:si>
    <x:t xml:space="preserve">Milprops 365 (Pty) Ltd</x:t>
  </x:si>
  <x:si>
    <x:t xml:space="preserve">CS10179</x:t>
  </x:si>
  <x:si>
    <x:t xml:space="preserve">Melissa Russell</x:t>
  </x:si>
  <x:si>
    <x:t xml:space="preserve">maintenance@mp365.co.za</x:t>
  </x:si>
  <x:si>
    <x:t xml:space="preserve">Two meters for Units A07 &amp; C04 has lost comms since the beginning of the month. we need to resolve comms or quote on replacing. Please note this is prepaid so we would prefer for it to be resolved.</x:t>
  </x:si>
  <x:si>
    <x:t xml:space="preserve">Maitland Industrial Park, Voortrekker Road, Maitland, Cape Town (Alwyn)</x:t>
  </x:si>
  <x:si>
    <x:t xml:space="preserve">2026-02-17 11:57:41</x:t>
  </x:si>
  <x:si>
    <x:t xml:space="preserve">2026-02-17 12:11:12</x:t>
  </x:si>
  <x:si>
    <x:t xml:space="preserve">Box Complete-20MM Plastic SA1508 SABS V (BCP20M20) [210401848], Box Complete-20MM Plastic SA1508 SABS V (BCP20M20) [210401885]</x:t>
  </x:si>
  <x:si>
    <x:t xml:space="preserve">PR-DWM-PVC-20/20mm, PR-DWM-PVC-20/20mm</x:t>
  </x:si>
  <x:si>
    <x:t xml:space="preserve">210401848, 210401885</x:t>
  </x:si>
  <x:si>
    <x:t xml:space="preserve">Unit A07 &amp; C04</x:t>
  </x:si>
  <x:si>
    <x:t xml:space="preserve">2026-02-02 00:00:00</x:t>
  </x:si>
  <x:si>
    <x:t xml:space="preserve">2026-02-27 00:00:00</x:t>
  </x:si>
  <x:si>
    <x:t xml:space="preserve">FF01_BT_Fault picked up &gt; FF02.1_PT_Troubleshoot Remotely &gt; FF06_FT_Quote Sent Awaiting Customer Approval</x:t>
  </x:si>
  <x:si>
    <x:t xml:space="preserve">2026-02-17 11:57:42</x:t>
  </x:si>
  <x:si>
    <x:t xml:space="preserve">2026-04-22 10:45:41</x:t>
  </x:si>
  <x:si>
    <x:t xml:space="preserve">JC10433</x:t>
  </x:si>
  <x:si>
    <x:t xml:space="preserve">Brunfelsia Investment Holdings (Pty) Ltd C/O Trueprop Property Services (Pty) Ltd</x:t>
  </x:si>
  <x:si>
    <x:t xml:space="preserve">CS10684</x:t>
  </x:si>
  <x:si>
    <x:t xml:space="preserve">Shane Robinson</x:t>
  </x:si>
  <x:si>
    <x:t xml:space="preserve">SRobinson@trueprop.co.za</x:t>
  </x:si>
  <x:si>
    <x:t xml:space="preserve">Hi Zoe,
Can you please assist with a quote for the subject property?
Electrical and Water meters.
I would propose that you attend to a site inspection and draw up a single line diagram for the property.
Kind Regards,
Shane Robinson</x:t>
  </x:si>
  <x:si>
    <x:t xml:space="preserve">The Local Kyalami Park Kyalami Blvd Johannesburg</x:t>
  </x:si>
  <x:si>
    <x:t xml:space="preserve">2026-03-04 09:22:35</x:t>
  </x:si>
  <x:si>
    <x:t xml:space="preserve">2026-05-05 10:53:19</x:t>
  </x:si>
  <x:si>
    <x:t xml:space="preserve">QU3437</x:t>
  </x:si>
  <x:si>
    <x:t xml:space="preserve">Donovan Willemse, James Nicholls, Lindy Maritz</x:t>
  </x:si>
  <x:si>
    <x:t xml:space="preserve">SI01_PT_Job Loaded &gt; SI02_PT_Inspection Scheduled &gt; SI04_FT_Quote Population &gt; SI05_FT_Quote Review &gt; SI06_FT_Quote Amend/Send &gt; SI07_FT_Quote Sent Awaiting Customer Approval &gt; IN11.2_PT_Schedule REM Tech installation/commission &gt; SI02_PT_Inspection Scheduled &gt; IN13.1_PT_Install complete capture info &gt; SI02_PT_Inspection Scheduled &gt; SI03.1_PT_Inspection Capture Info</x:t>
  </x:si>
  <x:si>
    <x:t xml:space="preserve">2026-05-05 10:53:20</x:t>
  </x:si>
  <x:si>
    <x:t xml:space="preserve">JC10434</x:t>
  </x:si>
  <x:si>
    <x:t xml:space="preserve">2026-03-04 11:51:29</x:t>
  </x:si>
  <x:si>
    <x:t xml:space="preserve">2026-05-14 12:22:11</x:t>
  </x:si>
  <x:si>
    <x:t xml:space="preserve">SI01_PT_Job Loaded &gt; SI03.1_PT_Inspection Capture Info &gt; SI02_PT_Inspection Scheduled &gt; SI03.1_PT_Inspection Capture Info &gt; SI03.2_QT_Quotation Sign Off &gt; SI03.1_PT_Inspection Capture Info</x:t>
  </x:si>
  <x:si>
    <x:t xml:space="preserve">2026-05-14 12:22:12</x:t>
  </x:si>
  <x:si>
    <x:t xml:space="preserve">JC10490</x:t>
  </x:si>
  <x:si>
    <x:t xml:space="preserve">Lillian Unknown</x:t>
  </x:si>
  <x:si>
    <x:t xml:space="preserve">toddcharterhouse@gmail.com</x:t>
  </x:si>
  <x:si>
    <x:t xml:space="preserve">0652405134</x:t>
  </x:si>
  <x:si>
    <x:t xml:space="preserve">Meter is still connected to a visio ( 02038797)  we need to replace with a KMP water meter.</x:t>
  </x:si>
  <x:si>
    <x:t xml:space="preserve">Pearson Street Gqeberha Central Gqeberha 6001</x:t>
  </x:si>
  <x:si>
    <x:t xml:space="preserve">2026-03-12 08:34:35</x:t>
  </x:si>
  <x:si>
    <x:t xml:space="preserve">2026-04-22 08:26:04</x:t>
  </x:si>
  <x:si>
    <x:t xml:space="preserve">QU3453</x:t>
  </x:si>
  <x:si>
    <x:t xml:space="preserve">Existing-15mm Water Meter [212069480], Existing-15mm Water Meter [242016033]</x:t>
  </x:si>
  <x:si>
    <x:t xml:space="preserve">Existing-15mm Water Meter, Existing-15mm Water Meter</x:t>
  </x:si>
  <x:si>
    <x:t xml:space="preserve">212069480, 242016033</x:t>
  </x:si>
  <x:si>
    <x:t xml:space="preserve">Meter 2 &amp; 3</x:t>
  </x:si>
  <x:si>
    <x:t xml:space="preserve">2026-03-04 00:00:00</x:t>
  </x:si>
  <x:si>
    <x:t xml:space="preserve">2026-06-04 00:00:00</x:t>
  </x:si>
  <x:si>
    <x:t xml:space="preserve">FF01_BT_Fault picked up &gt; FF02.1_PT_Troubleshoot Remotely &gt; FF04.1_FT_Quote population &gt; FF04.2_FT_Quote to Approve Internal &gt; FF05_FT_Quote Amend/Send &gt; FF06_FT_Quote Sent Awaiting Customer Approval &gt; FF09.2_LT_Job Approved Send Stock &gt; FF10A_PT_Awaiting install by client's techie</x:t>
  </x:si>
  <x:si>
    <x:t xml:space="preserve">2026-03-12 08:34:36</x:t>
  </x:si>
  <x:si>
    <x:t xml:space="preserve">JC10494</x:t>
  </x:si>
  <x:si>
    <x:t xml:space="preserve">Captivate Investment Trust</x:t>
  </x:si>
  <x:si>
    <x:t xml:space="preserve">CS10062</x:t>
  </x:si>
  <x:si>
    <x:t xml:space="preserve">Lindsay Vroom</x:t>
  </x:si>
  <x:si>
    <x:t xml:space="preserve">lindsayvroom@itsnet.co.za</x:t>
  </x:si>
  <x:si>
    <x:t xml:space="preserve">Meter is connected to a KoCos modem and has not called in for a few days.</x:t>
  </x:si>
  <x:si>
    <x:t xml:space="preserve">Vroom Industrial Strowan Road Industrial Area Grahamstown</x:t>
  </x:si>
  <x:si>
    <x:t xml:space="preserve">2026-03-13 09:10:18</x:t>
  </x:si>
  <x:si>
    <x:t xml:space="preserve">2026-04-21 12:21:24</x:t>
  </x:si>
  <x:si>
    <x:t xml:space="preserve">QU3557</x:t>
  </x:si>
  <x:si>
    <x:t xml:space="preserve">AS3000 Three Phase SMART Meter (AS3000) [6819237], A1140 Three Phase 4W 5A 230V 0.5 TOU RS232 ESK Complex Mid-Range Meters [78102692]</x:t>
  </x:si>
  <x:si>
    <x:t xml:space="preserve">EL-AS3000, LM3MAABBNHESRBFESK</x:t>
  </x:si>
  <x:si>
    <x:t xml:space="preserve">6819237, 78102692</x:t>
  </x:si>
  <x:si>
    <x:t xml:space="preserve">Donovan Willemse, Justin Bezuidenhout, Zoë Wille</x:t>
  </x:si>
  <x:si>
    <x:t xml:space="preserve">Unit 4 - Bruce Little + Muni check</x:t>
  </x:si>
  <x:si>
    <x:t xml:space="preserve">2026-03-11 00:00:00</x:t>
  </x:si>
  <x:si>
    <x:t xml:space="preserve">2026-03-31 00:00:00</x:t>
  </x:si>
  <x:si>
    <x:t xml:space="preserve">FF01_BT_Fault picked up &gt; FF02.1_PT_Troubleshoot Remotely &gt; FF03.1_PT_Awaiting Client Feedback &gt; FF04.1_FT_Quote population &gt; FF04.2_FT_Quote to Approve Internal &gt; FF05_FT_Quote Amend/Send &gt; FF06_FT_Quote Sent Awaiting Customer Approval</x:t>
  </x:si>
  <x:si>
    <x:t xml:space="preserve">2026-03-13 09:10:20</x:t>
  </x:si>
  <x:si>
    <x:t xml:space="preserve">JC10499</x:t>
  </x:si>
  <x:si>
    <x:t xml:space="preserve">Seven Seasons 214 (Pty) Ltd</x:t>
  </x:si>
  <x:si>
    <x:t xml:space="preserve">CS10234</x:t>
  </x:si>
  <x:si>
    <x:t xml:space="preserve">Sharon Fynn</x:t>
  </x:si>
  <x:si>
    <x:t xml:space="preserve">sharonfynn@imaginet.co.za</x:t>
  </x:si>
  <x:si>
    <x:t xml:space="preserve">2712345678</x:t>
  </x:si>
  <x:si>
    <x:t xml:space="preserve">Meter is still connected to a visio (02016D2A)  we need to quote on replacing with a KMP - but it is Gertz so not sure how we are going to approach this.</x:t>
  </x:si>
  <x:si>
    <x:t xml:space="preserve">Site Manager Unknown</x:t>
  </x:si>
  <x:si>
    <x:t xml:space="preserve">2026-03-13 12:43:38</x:t>
  </x:si>
  <x:si>
    <x:t xml:space="preserve">FF12.2_QT_Install Sign Off</x:t>
  </x:si>
  <x:si>
    <x:t xml:space="preserve">2026-05-15 08:38:17</x:t>
  </x:si>
  <x:si>
    <x:t xml:space="preserve">QU3451</x:t>
  </x:si>
  <x:si>
    <x:t xml:space="preserve">Existing-20mm Water Meter [222025119], Visios [02016D2A], Kamstrup DN20 Multical21 Composite 130mm cold water 2.5kl/h WM-Bus [76088556], Kamstrup FlowIQ2200 Qp2,5m3/h,G1B(R¾)X130MM DN20,pN16 [54043164]</x:t>
  </x:si>
  <x:si>
    <x:t xml:space="preserve">Existing-20mm Water Meter, VIS-VISIO, 021-40-C04-894, 02K-51-AC6G-8ZA</x:t>
  </x:si>
  <x:si>
    <x:t xml:space="preserve">222025119, 02016D2A, 76088556, 54043164</x:t>
  </x:si>
  <x:si>
    <x:t xml:space="preserve">Donovan Willemse, Justin Bezuidenhout, Lindy Maritz</x:t>
  </x:si>
  <x:si>
    <x:t xml:space="preserve">Hillcrest - SARS Main Office</x:t>
  </x:si>
  <x:si>
    <x:t xml:space="preserve">2026-02-17 00:00:00</x:t>
  </x:si>
  <x:si>
    <x:t xml:space="preserve">2026-05-14 00:00:00</x:t>
  </x:si>
  <x:si>
    <x:t xml:space="preserve">FF01_BT_Fault picked up &gt; FF02.1_PT_Troubleshoot Remotely &gt; FF04.1_FT_Quote population &gt; FF04.2_FT_Quote to Approve Internal &gt; FF05_FT_Quote Amend/Send &gt; FF06_FT_Quote Sent Awaiting Customer Approval &gt; FF09.2_LT_Job Approved Send Stock &gt; FF10A_PT_Awaiting install by client's techie &gt; FF12.1_PT_Install complete capture info &gt; FF10A_PT_Awaiting install by client's techie &gt; FF12.2_QT_Install Sign Off</x:t>
  </x:si>
  <x:si>
    <x:t xml:space="preserve">JC10501</x:t>
  </x:si>
  <x:si>
    <x:t xml:space="preserve">Inospace 3 Proprietary Limited [Eastleigh Exchange]</x:t>
  </x:si>
  <x:si>
    <x:t xml:space="preserve">CS10141</x:t>
  </x:si>
  <x:si>
    <x:t xml:space="preserve">Leander Grobbelaar</x:t>
  </x:si>
  <x:si>
    <x:t xml:space="preserve">lgrobbelaar@inospace.com</x:t>
  </x:si>
  <x:si>
    <x:t xml:space="preserve">Good day
We need 2 new meters to be supplied to eastleigh exchange as we splitted power for unit 4b and 4c.
Regards
Leander Grobbelaar</x:t>
  </x:si>
  <x:si>
    <x:t xml:space="preserve">Eastleigh Exchange 37 Main Road, Eastleigh, Edenvale, 1609 (Leander)</x:t>
  </x:si>
  <x:si>
    <x:t xml:space="preserve">2026-03-13 15:46:27</x:t>
  </x:si>
  <x:si>
    <x:t xml:space="preserve">IN16_PT_Reschedule for a fix (issues found on setup)</x:t>
  </x:si>
  <x:si>
    <x:t xml:space="preserve">2026-05-19 11:11:10</x:t>
  </x:si>
  <x:si>
    <x:t xml:space="preserve">QU3456, QU3623</x:t>
  </x:si>
  <x:si>
    <x:t xml:space="preserve">Kamstrup Omnipower V2 Three Phase CT Connect 5 Amp [36793074], Kamstrup Omnipower V2 Three Phase CT Connect 5 Amp [36793071], Riecktron M2M Kamstrup Plug In Modem (incl antenna) [MSK85706], Riecktron M2M Kamstrup Plug In Modem (incl antenna) [MSK93980]</x:t>
  </x:si>
  <x:si>
    <x:t xml:space="preserve">685-11-355-D24-0111-120, 685-11-355-D24-0111-120, M2M-MSK-A1, M2M-MSK-A1</x:t>
  </x:si>
  <x:si>
    <x:t xml:space="preserve">36793074, 36793071, MSK85706, MSK93980</x:t>
  </x:si>
  <x:si>
    <x:t xml:space="preserve">Kamstrup Omnipower V2 Three Phase CT Connect 5 Amp, Riecktron M2M Kamstrup Plug In Modem (incl antenna), Antennas, Ring CT 30/40mm ID 200/5A CLS 0,5</x:t>
  </x:si>
  <x:si>
    <x:t xml:space="preserve">SI01_PT_Job Loaded &gt; SI04_FT_Quote Population &gt; SI05_FT_Quote Review &gt; SI06_FT_Quote Amend/Send &gt; SI07_FT_Quote Sent Awaiting Customer Approval &gt; IN10_LT_ Job Approved Send Stock &gt; IN11.1_PT_Awaiting install by client &gt; IN16_PT_Reschedule for a fix (issues found on setup) &gt; SI03.2_QT_Quotation Sign Off &gt; SI04_FT_Quote Population &gt; IN16_PT_Reschedule for a fix (issues found on setup)</x:t>
  </x:si>
  <x:si>
    <x:t xml:space="preserve">2026-03-13 15:46:28</x:t>
  </x:si>
  <x:si>
    <x:t xml:space="preserve">2026-05-19 11:11:14</x:t>
  </x:si>
  <x:si>
    <x:t xml:space="preserve">JC10547</x:t>
  </x:si>
  <x:si>
    <x:t xml:space="preserve">Meter has not called in for a while - it is an openhab so we need to resolve comms</x:t>
  </x:si>
  <x:si>
    <x:t xml:space="preserve">2026-03-23 09:42:45</x:t>
  </x:si>
  <x:si>
    <x:t xml:space="preserve">FF15.3_FT_Final invoice and check monthlies</x:t>
  </x:si>
  <x:si>
    <x:t xml:space="preserve">2026-05-20 07:15:28</x:t>
  </x:si>
  <x:si>
    <x:t xml:space="preserve">Kamstrup DN20 Multical21 Composite 130mm cold water 2.5kl/h WM-Bus [76088541]</x:t>
  </x:si>
  <x:si>
    <x:t xml:space="preserve">021-40-C04-894</x:t>
  </x:si>
  <x:si>
    <x:t xml:space="preserve">76088541</x:t>
  </x:si>
  <x:si>
    <x:t xml:space="preserve">Spar Good receiving</x:t>
  </x:si>
  <x:si>
    <x:t xml:space="preserve">2026-03-19 00:00:00</x:t>
  </x:si>
  <x:si>
    <x:t xml:space="preserve">2026-04-14 00:00:00</x:t>
  </x:si>
  <x:si>
    <x:t xml:space="preserve">FF01_BT_Fault picked up &gt; FF02.1_PT_Troubleshoot Remotely &gt; FF03.2_PT_Fault Fixed (CLOSE next) &gt; FF16_CLOSE Job &gt; FF01_BT_Fault picked up &gt; FF02.1_PT_Troubleshoot Remotely &gt; FF03.1_PT_Awaiting Client Feedback &gt; FF10B_PT_Schedule REM Tech installation/commission &gt; FF15.3_FT_Final invoice and check monthlies</x:t>
  </x:si>
  <x:si>
    <x:t xml:space="preserve">2026-05-20 07:15:37</x:t>
  </x:si>
  <x:si>
    <x:t xml:space="preserve">JC10556</x:t>
  </x:si>
  <x:si>
    <x:t xml:space="preserve">Superspar Spargs Butterworh</x:t>
  </x:si>
  <x:si>
    <x:t xml:space="preserve">CS10822</x:t>
  </x:si>
  <x:si>
    <x:t xml:space="preserve">Wayne Preston</x:t>
  </x:si>
  <x:si>
    <x:t xml:space="preserve">wayne@spargs.co.za</x:t>
  </x:si>
  <x:si>
    <x:t xml:space="preserve">0836294100</x:t>
  </x:si>
  <x:si>
    <x:t xml:space="preserve">U CAN SOLAR reached out requesting a check meter. They would like to get profile to aid in designing the clients solar system.</x:t>
  </x:si>
  <x:si>
    <x:t xml:space="preserve">Sauer St, Gcuwa, 4960</x:t>
  </x:si>
  <x:si>
    <x:t xml:space="preserve">2026-03-24 11:11:39</x:t>
  </x:si>
  <x:si>
    <x:t xml:space="preserve">2026-05-18 09:53:40</x:t>
  </x:si>
  <x:si>
    <x:t xml:space="preserve">QU3625</x:t>
  </x:si>
  <x:si>
    <x:t xml:space="preserve">SI01_PT_Job Loaded &gt; SI02_PT_Inspection Scheduled &gt; SI03.2_QT_Quotation Sign Off &gt; SI04_FT_Quote Population &gt; SI05_FT_Quote Review &gt; SI06_FT_Quote Amend/Send &gt; SI07_FT_Quote Sent Awaiting Customer Approval</x:t>
  </x:si>
  <x:si>
    <x:t xml:space="preserve">2026-03-24 11:11:40</x:t>
  </x:si>
  <x:si>
    <x:t xml:space="preserve">JC10557</x:t>
  </x:si>
  <x:si>
    <x:t xml:space="preserve">Client has requested that we quote him on water as well as elec (JC10556).
Waiting for additional info.</x:t>
  </x:si>
  <x:si>
    <x:t xml:space="preserve">2026-03-24 11:38:01</x:t>
  </x:si>
  <x:si>
    <x:t xml:space="preserve">2026-05-18 09:54:17</x:t>
  </x:si>
  <x:si>
    <x:t xml:space="preserve">JC10559</x:t>
  </x:si>
  <x:si>
    <x:t xml:space="preserve">Adomix (Pty) Ltd</x:t>
  </x:si>
  <x:si>
    <x:t xml:space="preserve">CS10023</x:t>
  </x:si>
  <x:si>
    <x:t xml:space="preserve">Lee-Ann Stabsfield</x:t>
  </x:si>
  <x:si>
    <x:t xml:space="preserve">lee-ann@wgproperties.co.za</x:t>
  </x:si>
  <x:si>
    <x:t xml:space="preserve">0606317571</x:t>
  </x:si>
  <x:si>
    <x:t xml:space="preserve">FF_Fault Fix Water Kamstrup with Gateway</x:t>
  </x:si>
  <x:si>
    <x:t xml:space="preserve">These meters have not called in for a few days. Please can we resolve comms</x:t>
  </x:si>
  <x:si>
    <x:t xml:space="preserve">Wellington Square Wellington Street Bodorp George</x:t>
  </x:si>
  <x:si>
    <x:t xml:space="preserve">2026-03-25 08:38:05</x:t>
  </x:si>
  <x:si>
    <x:t xml:space="preserve">FF11_PT_Could not complete reschedule</x:t>
  </x:si>
  <x:si>
    <x:t xml:space="preserve">2026-05-22 06:11:42</x:t>
  </x:si>
  <x:si>
    <x:t xml:space="preserve">Kamstrup DN20 Multical21 Composite 130mm cold water 2.5kl/h WM-Bus [77698169], Kamstrup DN20 Multical21 Composite 130mm cold water 2.5kl/h WM-Bus [77698135], Kamstrup DN20 Multical21 Composite 130mm cold water 2.5kl/h WM-Bus [77698174], Kamstrup DN20 Multical21 Composite 130mm cold water 2.5kl/h WM-Bus [76685566], Kamstrup DN20 Multical21 Composite 130mm cold water 2.5kl/h WM-Bus [77698171], Kamstrup DN20 Multical21 Composite 130mm cold water 2.5kl/h WM-Bus [77698136], Kamstrup DN20 Multical21 Composite 130mm cold water 2.5kl/h WM-Bus [77698137], Existing Comms Device [MSL38426]</x:t>
  </x:si>
  <x:si>
    <x:t xml:space="preserve">021-40-C04-894, 021-40-C04-894, 021-40-C04-894, 021-40-C04-894, 021-40-C04-894, 021-40-C04-894, 021-40-C04-894, Existing Comms Device</x:t>
  </x:si>
  <x:si>
    <x:t xml:space="preserve">77698169, 77698135, 77698174, 76685566, 77698171, 77698136, 77698137, MSL38426</x:t>
  </x:si>
  <x:si>
    <x:t xml:space="preserve">Multiple</x:t>
  </x:si>
  <x:si>
    <x:t xml:space="preserve">2026-03-22 00:00:00</x:t>
  </x:si>
  <x:si>
    <x:t xml:space="preserve">FF01_BT_Fault picked up &gt; FF02.1_PT_Troubleshoot Remotely &gt; FF03.1_PT_Awaiting Client Feedback &gt; FF10B_PT_Schedule REM Tech installation/commission &gt; FF15.3_FT_Final invoice and check monthlies &gt; FF11_PT_Could not complete reschedule</x:t>
  </x:si>
  <x:si>
    <x:t xml:space="preserve">2026-03-25 08:38:07</x:t>
  </x:si>
  <x:si>
    <x:t xml:space="preserve">susan@republicmetering.co.za</x:t>
  </x:si>
  <x:si>
    <x:t xml:space="preserve">2026-05-22 06:11:43</x:t>
  </x:si>
  <x:si>
    <x:t xml:space="preserve">JC10595</x:t>
  </x:si>
  <x:si>
    <x:t xml:space="preserve">Arctilogix (Pty) Ltd</x:t>
  </x:si>
  <x:si>
    <x:t xml:space="preserve">CS10036</x:t>
  </x:si>
  <x:si>
    <x:t xml:space="preserve">Wendy Stander</x:t>
  </x:si>
  <x:si>
    <x:t xml:space="preserve">wendy@wgproperties.co.za</x:t>
  </x:si>
  <x:si>
    <x:t xml:space="preserve">Meter for Caltex at Willowvale still has a visio linked to it. ( 0203E9B7 ) The previous quote was rejected and we want to quote on a replacement.</x:t>
  </x:si>
  <x:si>
    <x:t xml:space="preserve">Willowvale Shopping Centre Main Street Willowvale 5040 (Wendy Stander)</x:t>
  </x:si>
  <x:si>
    <x:t xml:space="preserve">2026-03-26 14:35:21</x:t>
  </x:si>
  <x:si>
    <x:t xml:space="preserve">2026-05-15 11:46:04</x:t>
  </x:si>
  <x:si>
    <x:t xml:space="preserve">QU3497</x:t>
  </x:si>
  <x:si>
    <x:t xml:space="preserve">Existing-25mm Water Meter [C-WJK0404], Visios [0203E9B7], Kamstrup FlowIQ2200 Qp2,5m3/h,G1B(R¾)X130MM DN20,pN16 [54043162]</x:t>
  </x:si>
  <x:si>
    <x:t xml:space="preserve">Existing-25mm Water Meter, VIS-VISIO, 02K-51-AC6G-8ZA</x:t>
  </x:si>
  <x:si>
    <x:t xml:space="preserve">C-WJK0404, 0203E9B7, 54043162</x:t>
  </x:si>
  <x:si>
    <x:t xml:space="preserve">Caltex Willowvale</x:t>
  </x:si>
  <x:si>
    <x:t xml:space="preserve">2025-12-01 00:00:00</x:t>
  </x:si>
  <x:si>
    <x:t xml:space="preserve">2026-03-16 00:00:00</x:t>
  </x:si>
  <x:si>
    <x:t xml:space="preserve">FF01_BT_Fault picked up &gt; FF02.1_PT_Troubleshoot Remotely &gt; FF04.1_FT_Quote population &gt; FF04.2_FT_Quote to Approve Internal &gt; FF05_FT_Quote Amend/Send &gt; FF09.2_LT_Job Approved Send Stock &gt; FF10A_PT_Awaiting install by client's techie &gt; FF12.1_PT_Install complete capture info &gt; FF03.3_QT_Quotation Sign Off &gt; FF12.2_QT_Install Sign Off &gt; FF13_LT_Update Stock Used &gt; FF14_BT_Billing Scada Setup &gt; FF15.3_FT_Final invoice and check monthlies</x:t>
  </x:si>
  <x:si>
    <x:t xml:space="preserve">2026-05-15 14:16:52</x:t>
  </x:si>
  <x:si>
    <x:t xml:space="preserve">JC10597</x:t>
  </x:si>
  <x:si>
    <x:t xml:space="preserve">Chantené Kiewiets</x:t>
  </x:si>
  <x:si>
    <x:t xml:space="preserve">stanfordsquare974@gmail.com</x:t>
  </x:si>
  <x:si>
    <x:t xml:space="preserve">Hi Jamie-Lee, 
Would you perhaps know who removed it (i.e was it Republic metering, Western gruppe or the tenant themselves), so that Icould try and investigate where the meter currently is. Furthermore, if the meter is found I would like to request that it be reinstalled please. 
If in the case that the meter is not found I would please like to request that it be replaced as soon as possible and added to the monthly monitored tenant accounts please. 
I hope you are able to understand my request. 
Please reach out if you have any questions or concerns. 
Thank you so much in advance. 
Kind Regards, 
Chantené Kiviets
Stanford Square Admin
Richard and Roy's Properties
Email: stanfordsquare974@gmail.com
Call: 072 970 1128</x:t>
  </x:si>
  <x:si>
    <x:t xml:space="preserve">2026-03-26 15:54:09</x:t>
  </x:si>
  <x:si>
    <x:t xml:space="preserve">IN15_BT_Billing Scada Setup</x:t>
  </x:si>
  <x:si>
    <x:t xml:space="preserve">2026-05-07 12:45:01</x:t>
  </x:si>
  <x:si>
    <x:t xml:space="preserve">QU3496</x:t>
  </x:si>
  <x:si>
    <x:t xml:space="preserve">Kamstrup FlowIQ2200 Qp2,5m3/h,G1B(R¾)X130MM DN20,pN16 [54043157], Kamstrup DN20 Multical21 Composite 130mm cold water 2.5kl/h WM-Bus [76685529]</x:t>
  </x:si>
  <x:si>
    <x:t xml:space="preserve">02K-51-AC6G-8ZA, 021-40-C04-894</x:t>
  </x:si>
  <x:si>
    <x:t xml:space="preserve">54043157, 76685529</x:t>
  </x:si>
  <x:si>
    <x:t xml:space="preserve">SI01_PT_Job Loaded &gt; SI04_FT_Quote Population &gt; SI05_FT_Quote Review &gt; SI06_FT_Quote Amend/Send &gt; SI07_FT_Quote Sent Awaiting Customer Approval &gt; IN10_LT_ Job Approved Send Stock &gt; IN11.1_PT_Awaiting install by client &gt; IN13.2_QT_Install Sign Off &gt; IN14_LT_Update Stock Used &gt; IN15_BT_Billing Scada Setup</x:t>
  </x:si>
  <x:si>
    <x:t xml:space="preserve">2026-05-21 12:37:39</x:t>
  </x:si>
  <x:si>
    <x:t xml:space="preserve">JC10603</x:t>
  </x:si>
  <x:si>
    <x:t xml:space="preserve">Bishops Glen Farm</x:t>
  </x:si>
  <x:si>
    <x:t xml:space="preserve">CS10824</x:t>
  </x:si>
  <x:si>
    <x:t xml:space="preserve">Dylan Berndts</x:t>
  </x:si>
  <x:si>
    <x:t xml:space="preserve">dyllanberndt@yahoo.com</x:t>
  </x:si>
  <x:si>
    <x:t xml:space="preserve">0828902446</x:t>
  </x:si>
  <x:si>
    <x:t xml:space="preserve">Morning Donny. Hope you are well bud.
We went to view another site last week. It is a farm up near Bloem, Free State. 
They also require energy meters - they have 6 points from Eskom around the farm. Need a Quote on installing meters there; Justin will be accommodated on the Farm, so that’s no issue.</x:t>
  </x:si>
  <x:si>
    <x:t xml:space="preserve">Bishops Glen Farm X8XV+M5C Bloemfontein</x:t>
  </x:si>
  <x:si>
    <x:t xml:space="preserve">2026-03-30 09:09:56</x:t>
  </x:si>
  <x:si>
    <x:t xml:space="preserve">2026-03-31 16:12:05</x:t>
  </x:si>
  <x:si>
    <x:t xml:space="preserve">QU3495, QU3508</x:t>
  </x:si>
  <x:si>
    <x:t xml:space="preserve">JC10610</x:t>
  </x:si>
  <x:si>
    <x:t xml:space="preserve">Deon Erasmus</x:t>
  </x:si>
  <x:si>
    <x:t xml:space="preserve">deon.erasmus@bkb.co.za</x:t>
  </x:si>
  <x:si>
    <x:t xml:space="preserve">0828607176</x:t>
  </x:si>
  <x:si>
    <x:t xml:space="preserve">Some water meters at BKB are recording zero consumption, I have been drawing attention to this when sending the billing and asking for confirmation however we receive no response. I am almost certain that there should be consumption on these meters. C-WRA0703, C-WRA0702, C-WRA0698 and 3143359.</x:t>
  </x:si>
  <x:si>
    <x:t xml:space="preserve">2026-03-30 15:26:12</x:t>
  </x:si>
  <x:si>
    <x:t xml:space="preserve">2026-04-13 09:20:02</x:t>
  </x:si>
  <x:si>
    <x:t xml:space="preserve">QU3524</x:t>
  </x:si>
  <x:si>
    <x:t xml:space="preserve">Existing-20mm Water Meter [C-WRA0703], Existing-20mm Water Meter [C-WRA0698], Existing-100MM Water Meter [3143359]</x:t>
  </x:si>
  <x:si>
    <x:t xml:space="preserve">Existing-20mm Water Meter, Existing-20mm Water Meter, Existing-100MM Water Meter</x:t>
  </x:si>
  <x:si>
    <x:t xml:space="preserve">C-WRA0703, C-WRA0698, 3143359</x:t>
  </x:si>
  <x:si>
    <x:t xml:space="preserve">Warehouse, Modiano, Ladies Cloakroom, Drying Room Heatpump</x:t>
  </x:si>
  <x:si>
    <x:t xml:space="preserve">2026-03-30 00:00:00</x:t>
  </x:si>
  <x:si>
    <x:t xml:space="preserve">2026-06-30 00:00:00</x:t>
  </x:si>
  <x:si>
    <x:t xml:space="preserve">2026-03-30 15:26:13</x:t>
  </x:si>
  <x:si>
    <x:t xml:space="preserve">chelsea@republicmetering.co.za</x:t>
  </x:si>
  <x:si>
    <x:t xml:space="preserve">JC10613</x:t>
  </x:si>
  <x:si>
    <x:t xml:space="preserve">GM Industrial Park Body Corporate (SLA)</x:t>
  </x:si>
  <x:si>
    <x:t xml:space="preserve">CS10109</x:t>
  </x:si>
  <x:si>
    <x:t xml:space="preserve">Neill Hodgskin</x:t>
  </x:si>
  <x:si>
    <x:t xml:space="preserve">maintenance@bmiza.com</x:t>
  </x:si>
  <x:si>
    <x:t xml:space="preserve">0719007429</x:t>
  </x:si>
  <x:si>
    <x:t xml:space="preserve">This meter calls in when the date is set back manually, then a day later it is back on the problem meter list. Can we somehow resolve this for good? Refer to previous comment on JC completed by JK</x:t>
  </x:si>
  <x:si>
    <x:t xml:space="preserve">GM Industrial Park Kempston Road Gqebhera 6001 (Neill)</x:t>
  </x:si>
  <x:si>
    <x:t xml:space="preserve">2026-03-31 08:43:41</x:t>
  </x:si>
  <x:si>
    <x:t xml:space="preserve">FF02.2_PT_Further Investigations</x:t>
  </x:si>
  <x:si>
    <x:t xml:space="preserve">2026-05-14 15:45:08</x:t>
  </x:si>
  <x:si>
    <x:t xml:space="preserve">Kamstrup DN15 (20mm) FlowIQ2200 Composite Threaded 110mm cold water 1.5kl/h R250 WM-Bus/LinkIQ [12992719]</x:t>
  </x:si>
  <x:si>
    <x:t xml:space="preserve">02K-51-AC1B-817</x:t>
  </x:si>
  <x:si>
    <x:t xml:space="preserve">12992719</x:t>
  </x:si>
  <x:si>
    <x:t xml:space="preserve">Coling Barris Agencies</x:t>
  </x:si>
  <x:si>
    <x:t xml:space="preserve">2026-03-25 00:00:00</x:t>
  </x:si>
  <x:si>
    <x:t xml:space="preserve">FF01_BT_Fault picked up &gt; FF02.1_PT_Troubleshoot Remotely &gt; FF02.2_PT_Further Investigations</x:t>
  </x:si>
  <x:si>
    <x:t xml:space="preserve">2026-03-31 08:43:42</x:t>
  </x:si>
  <x:si>
    <x:t xml:space="preserve">JC10614</x:t>
  </x:si>
  <x:si>
    <x:t xml:space="preserve">Holdings 302/308 Pomona (Pty) Ltd</x:t>
  </x:si>
  <x:si>
    <x:t xml:space="preserve">CS10118</x:t>
  </x:si>
  <x:si>
    <x:t xml:space="preserve">0837660112</x:t>
  </x:si>
  <x:si>
    <x:t xml:space="preserve">Hi Zoë
I trust you are well.
We require a cost quote for a 5A demand meter for our new laundry at 6 Ring Rd, George.
The quote is for a meter only plus modem.
Please set up the meter for 200/5 CT’s .
Please include forwarding cost – the meter to be sent to Marsha at the Hotel in Wilderness / George.
The electrician in George will install the meter with the new DB and then liaise with Herloux on the day to ensure the meter is set up correctly.
The quote to be made out to:
Holding 302/308 Pomona (Pty) Ltd
P O Box 1667, Bedfordview, 2008
VAT NO: 4120159035
I will send through the meter naming details for adding to our meter list.
Many thanks.
Kind regards,</x:t>
  </x:si>
  <x:si>
    <x:t xml:space="preserve">George The Views South Street Wilderness 6529</x:t>
  </x:si>
  <x:si>
    <x:t xml:space="preserve">2026-03-31 08:44:47</x:t>
  </x:si>
  <x:si>
    <x:t xml:space="preserve">IN18_FT_Final invoice and check monthlies</x:t>
  </x:si>
  <x:si>
    <x:t xml:space="preserve">2026-05-15 14:31:02</x:t>
  </x:si>
  <x:si>
    <x:t xml:space="preserve">QU3503</x:t>
  </x:si>
  <x:si>
    <x:t xml:space="preserve">Riecktron M2M Kamstrup Plug In Modem (incl antenna) [MSK93889], Kamstrup Omnipower V2 Three Phase CT Connect 5 Amp [36823704]</x:t>
  </x:si>
  <x:si>
    <x:t xml:space="preserve">M2M-MSK-A1, 685-11-355-D24-0111-120</x:t>
  </x:si>
  <x:si>
    <x:t xml:space="preserve">MSK93889, 36823704</x:t>
  </x:si>
  <x:si>
    <x:t xml:space="preserve">Kamstrup Omnipower V2 Three Phase CT Connect 5 Amp, Riecktron M2M Kamstrup Plug In Modem (incl antenna), Antennas, Acorp Split Core CT 200/5A (40mm)</x:t>
  </x:si>
  <x:si>
    <x:t xml:space="preserve">SI01_PT_Job Loaded &gt; SI04_FT_Quote Population &gt; SI05_FT_Quote Review &gt; SI06_FT_Quote Amend/Send &gt; SI07_FT_Quote Sent Awaiting Customer Approval &gt; IN10_LT_ Job Approved Send Stock &gt; IN11.1_PT_Awaiting install by client &gt; IN13.2_QT_Install Sign Off &gt; IN14_LT_Update Stock Used &gt; IN15_BT_Billing Scada Setup &gt; IN18_FT_Final invoice and check monthlies</x:t>
  </x:si>
  <x:si>
    <x:t xml:space="preserve">2026-03-31 08:44:48</x:t>
  </x:si>
  <x:si>
    <x:t xml:space="preserve">zelda@republicmetering.co.za</x:t>
  </x:si>
  <x:si>
    <x:t xml:space="preserve">JC10617</x:t>
  </x:si>
  <x:si>
    <x:t xml:space="preserve">Waterlea Dairy PTY LTD</x:t>
  </x:si>
  <x:si>
    <x:t xml:space="preserve">CS10297</x:t>
  </x:si>
  <x:si>
    <x:t xml:space="preserve">Mark Holliday</x:t>
  </x:si>
  <x:si>
    <x:t xml:space="preserve">mark@xantium.org</x:t>
  </x:si>
  <x:si>
    <x:t xml:space="preserve">FF_Fault Fix Elec meter with modem</x:t>
  </x:si>
  <x:si>
    <x:t xml:space="preserve">the full load meter has not been calling in.</x:t>
  </x:si>
  <x:si>
    <x:t xml:space="preserve">Unknown Waterlea Hofmeyr</x:t>
  </x:si>
  <x:si>
    <x:t xml:space="preserve">2026-03-31 08:57:36</x:t>
  </x:si>
  <x:si>
    <x:t xml:space="preserve">FF03.1_PT_Awaiting Client Feedback</x:t>
  </x:si>
  <x:si>
    <x:t xml:space="preserve">2026-04-20 15:27:14</x:t>
  </x:si>
  <x:si>
    <x:t xml:space="preserve">Riecktron M2M Kamstrup Plug In Modem (incl antenna) [MSK66222], Kamstrup Omnipower V2 Three Phase CT Connect 5 Amp [35775682]</x:t>
  </x:si>
  <x:si>
    <x:t xml:space="preserve">MSK66222, 35775682</x:t>
  </x:si>
  <x:si>
    <x:t xml:space="preserve">Full load meter</x:t>
  </x:si>
  <x:si>
    <x:t xml:space="preserve">2026-03-27 00:00:00</x:t>
  </x:si>
  <x:si>
    <x:t xml:space="preserve">2026-04-01 00:00:00</x:t>
  </x:si>
  <x:si>
    <x:t xml:space="preserve">FF01_BT_Fault picked up &gt; FF02.1_PT_Troubleshoot Remotely &gt; FF03.1_PT_Awaiting Client Feedback</x:t>
  </x:si>
  <x:si>
    <x:t xml:space="preserve">2026-03-31 08:57:37</x:t>
  </x:si>
  <x:si>
    <x:t xml:space="preserve">JC10620</x:t>
  </x:si>
  <x:si>
    <x:t xml:space="preserve">Raumix Aggregates</x:t>
  </x:si>
  <x:si>
    <x:t xml:space="preserve">CS10813</x:t>
  </x:si>
  <x:si>
    <x:t xml:space="preserve">Neil Joubert</x:t>
  </x:si>
  <x:si>
    <x:t xml:space="preserve">rossway@raumix.co.za</x:t>
  </x:si>
  <x:si>
    <x:t xml:space="preserve">0788035132</x:t>
  </x:si>
  <x:si>
    <x:t xml:space="preserve">Client requested a SI to determine the requirements to meter the whole quarry.</x:t>
  </x:si>
  <x:si>
    <x:t xml:space="preserve">Rossway Quarry Olievenhoutbosch Olievenhoutbosch Centurion 0187</x:t>
  </x:si>
  <x:si>
    <x:t xml:space="preserve">2026-03-31 11:35:37</x:t>
  </x:si>
  <x:si>
    <x:t xml:space="preserve">2026-05-05 10:46:34</x:t>
  </x:si>
  <x:si>
    <x:t xml:space="preserve">QU3596</x:t>
  </x:si>
  <x:si>
    <x:t xml:space="preserve">Donovan Willemse, James Nicholls, Lindy Maritz, Zoë Wille</x:t>
  </x:si>
  <x:si>
    <x:t xml:space="preserve">SI01_PT_Job Loaded &gt; SI02_PT_Inspection Scheduled &gt; SI03.1_PT_Inspection Capture Info &gt; SI03.2_QT_Quotation Sign Off &gt; SI04_FT_Quote Population &gt; SI05_FT_Quote Review &gt; SI06_FT_Quote Amend/Send &gt; SI07_FT_Quote Sent Awaiting Customer Approval</x:t>
  </x:si>
  <x:si>
    <x:t xml:space="preserve">2026-03-31 11:35:38</x:t>
  </x:si>
  <x:si>
    <x:t xml:space="preserve">JC10622</x:t>
  </x:si>
  <x:si>
    <x:t xml:space="preserve">Obakeng Motlhamme (Donkerhoek)</x:t>
  </x:si>
  <x:si>
    <x:t xml:space="preserve">obakeng.m@raumix.co.za</x:t>
  </x:si>
  <x:si>
    <x:t xml:space="preserve">27769914460</x:t>
  </x:si>
  <x:si>
    <x:t xml:space="preserve">U CAN SOLAR site 
Client requested a SI to determine the requirements to meter the whole quarry.</x:t>
  </x:si>
  <x:si>
    <x:t xml:space="preserve">Raumix Donkerhoek Plot 115 R104 Old Bronkhorstspruit Rd</x:t>
  </x:si>
  <x:si>
    <x:t xml:space="preserve">2026-03-31 11:48:28</x:t>
  </x:si>
  <x:si>
    <x:t xml:space="preserve">2026-05-05 11:10:55</x:t>
  </x:si>
  <x:si>
    <x:t xml:space="preserve">QU3577</x:t>
  </x:si>
  <x:si>
    <x:t xml:space="preserve">Donovan Willemse, James Nicholls, Zoë Wille</x:t>
  </x:si>
  <x:si>
    <x:t xml:space="preserve">2026-03-31 11:48:29</x:t>
  </x:si>
  <x:si>
    <x:t xml:space="preserve">JC10623</x:t>
  </x:si>
  <x:si>
    <x:t xml:space="preserve">Kobus Le Roux</x:t>
  </x:si>
  <x:si>
    <x:t xml:space="preserve">kobus.l@raumix.co.za</x:t>
  </x:si>
  <x:si>
    <x:t xml:space="preserve">0714627717</x:t>
  </x:si>
  <x:si>
    <x:t xml:space="preserve">Raumix Aggregates Rosslyn Quarry Soshanguve, 0164</x:t>
  </x:si>
  <x:si>
    <x:t xml:space="preserve">2026-03-31 11:51:25</x:t>
  </x:si>
  <x:si>
    <x:t xml:space="preserve">2026-05-05 11:33:23</x:t>
  </x:si>
  <x:si>
    <x:t xml:space="preserve">QU3595</x:t>
  </x:si>
  <x:si>
    <x:t xml:space="preserve">2026-03-31 11:51:26</x:t>
  </x:si>
  <x:si>
    <x:t xml:space="preserve">JC10634</x:t>
  </x:si>
  <x:si>
    <x:t xml:space="preserve">The Newton Park main is not calling in.</x:t>
  </x:si>
  <x:si>
    <x:t xml:space="preserve">Newton Park Cnr West St &amp;, 3rd Ave Newton Park Gqeberha</x:t>
  </x:si>
  <x:si>
    <x:t xml:space="preserve">2026-04-02 11:11:53</x:t>
  </x:si>
  <x:si>
    <x:t xml:space="preserve">2026-04-22 08:27:05</x:t>
  </x:si>
  <x:si>
    <x:t xml:space="preserve">QU3540</x:t>
  </x:si>
  <x:si>
    <x:t xml:space="preserve">Existing-80mm Water Meter [18741058], Existing-20mm Water Meter [222013408], Existing-Unknown Water Meter [181138546]</x:t>
  </x:si>
  <x:si>
    <x:t xml:space="preserve">Existing-80mm Water Meter, Existing-20mm Water Meter, Existing-Unknown Water Meter</x:t>
  </x:si>
  <x:si>
    <x:t xml:space="preserve">18741058, 222013408, 181138546</x:t>
  </x:si>
  <x:si>
    <x:t xml:space="preserve">Main</x:t>
  </x:si>
  <x:si>
    <x:t xml:space="preserve">2026-03-28 00:00:00</x:t>
  </x:si>
  <x:si>
    <x:t xml:space="preserve">2026-04-02 11:11:54</x:t>
  </x:si>
  <x:si>
    <x:t xml:space="preserve">JC10655</x:t>
  </x:si>
  <x:si>
    <x:t xml:space="preserve">The Circle (Pty) Ltd</x:t>
  </x:si>
  <x:si>
    <x:t xml:space="preserve">CS10267</x:t>
  </x:si>
  <x:si>
    <x:t xml:space="preserve">Lize Price</x:t>
  </x:si>
  <x:si>
    <x:t xml:space="preserve">LPrice@trueprop.co.za</x:t>
  </x:si>
  <x:si>
    <x:t xml:space="preserve">0609611007</x:t>
  </x:si>
  <x:si>
    <x:t xml:space="preserve">Meter is still connected to visio ( 02033DAE ) but has not recorded any consumption.</x:t>
  </x:si>
  <x:si>
    <x:t xml:space="preserve">Kings Mall Main Road East London 5201</x:t>
  </x:si>
  <x:si>
    <x:t xml:space="preserve">2026-04-08 14:20:28</x:t>
  </x:si>
  <x:si>
    <x:t xml:space="preserve">2026-04-17 13:14:06</x:t>
  </x:si>
  <x:si>
    <x:t xml:space="preserve">QU3536</x:t>
  </x:si>
  <x:si>
    <x:t xml:space="preserve">Visios [02033DAE], Existing-20mm Water Meter [C-SAG8537]</x:t>
  </x:si>
  <x:si>
    <x:t xml:space="preserve">VIS-VISIO, Existing-20mm Water Meter</x:t>
  </x:si>
  <x:si>
    <x:t xml:space="preserve">02033DAE, C-SAG8537</x:t>
  </x:si>
  <x:si>
    <x:t xml:space="preserve">Shop 11 - Miladys</x:t>
  </x:si>
  <x:si>
    <x:t xml:space="preserve">2026-03-10 00:00:00</x:t>
  </x:si>
  <x:si>
    <x:t xml:space="preserve">2026-06-05 00:00:00</x:t>
  </x:si>
  <x:si>
    <x:t xml:space="preserve">2026-04-08 14:20:29</x:t>
  </x:si>
  <x:si>
    <x:t xml:space="preserve">JC10660</x:t>
  </x:si>
  <x:si>
    <x:t xml:space="preserve">Smartt Tech Solutions (Pty) Ltd</x:t>
  </x:si>
  <x:si>
    <x:t xml:space="preserve">CS10670</x:t>
  </x:si>
  <x:si>
    <x:t xml:space="preserve">Dr Forward Muchaonyerwa</x:t>
  </x:si>
  <x:si>
    <x:t xml:space="preserve">forward.mucha@skg.co.za</x:t>
  </x:si>
  <x:si>
    <x:t xml:space="preserve">0739006538</x:t>
  </x:si>
  <x:si>
    <x:t xml:space="preserve">Two meters at Wilsonia have stopped communicating with us.</x:t>
  </x:si>
  <x:si>
    <x:t xml:space="preserve">PR176 Cut Rag Building (Wilsonia) 20 Bert Kipling Road Wilsonia East London</x:t>
  </x:si>
  <x:si>
    <x:t xml:space="preserve">2026-04-09 08:05:05</x:t>
  </x:si>
  <x:si>
    <x:t xml:space="preserve">FF09.2_LT_Job Approved Send Stock</x:t>
  </x:si>
  <x:si>
    <x:t xml:space="preserve">2026-05-21 10:07:53</x:t>
  </x:si>
  <x:si>
    <x:t xml:space="preserve">Kamstrup DN80 FlowIQ3200 Stainless Steel Flanged 300mm cold water 40kl/h R250 WM-Bus/LinkIQ [54258004], Kamstrup Omnipower V2 Three Phase Direct Connect 100 Amp [36401946]</x:t>
  </x:si>
  <x:si>
    <x:t xml:space="preserve">02L-60-DC6W-8ZA, 684-11-311-N24-5111-120</x:t>
  </x:si>
  <x:si>
    <x:t xml:space="preserve">54258004, 36401946</x:t>
  </x:si>
  <x:si>
    <x:t xml:space="preserve">Donovan Willemse, Justin Bezuidenhout, Lizette Benn</x:t>
  </x:si>
  <x:si>
    <x:t xml:space="preserve">Wilsonia Building - Muni Check &amp; Staff Canteen</x:t>
  </x:si>
  <x:si>
    <x:t xml:space="preserve">2026-04-04 00:00:00</x:t>
  </x:si>
  <x:si>
    <x:t xml:space="preserve">2026-04-16 00:00:00</x:t>
  </x:si>
  <x:si>
    <x:t xml:space="preserve">FF01_BT_Fault picked up &gt; FF02.1_PT_Troubleshoot Remotely &gt; FF10B_PT_Schedule REM Tech installation/commission &gt; FF09.2_LT_Job Approved Send Stock</x:t>
  </x:si>
  <x:si>
    <x:t xml:space="preserve">2026-04-09 08:05:09</x:t>
  </x:si>
  <x:si>
    <x:t xml:space="preserve">2026-05-21 10:08:01</x:t>
  </x:si>
  <x:si>
    <x:t xml:space="preserve">JC10665</x:t>
  </x:si>
  <x:si>
    <x:t xml:space="preserve">InoFort (Pty) Ltd [Textile Exchange]</x:t>
  </x:si>
  <x:si>
    <x:t xml:space="preserve">CS10126</x:t>
  </x:si>
  <x:si>
    <x:t xml:space="preserve">Liam Vickers</x:t>
  </x:si>
  <x:si>
    <x:t xml:space="preserve">lvickers@inospace.com</x:t>
  </x:si>
  <x:si>
    <x:t xml:space="preserve">The meter is still connected to a visio ( 01FB2C8E) and we need to quote on replacing with a KMP water meter</x:t>
  </x:si>
  <x:si>
    <x:t xml:space="preserve">Textile Exchange 19 Textiel Street Parow Industria Cape Town</x:t>
  </x:si>
  <x:si>
    <x:t xml:space="preserve">2026-04-10 09:55:46</x:t>
  </x:si>
  <x:si>
    <x:t xml:space="preserve">2026-04-17 09:37:16</x:t>
  </x:si>
  <x:si>
    <x:t xml:space="preserve">QU3538</x:t>
  </x:si>
  <x:si>
    <x:t xml:space="preserve">Visios [01FB2C8E], Existing-20mm Water Meter [232057762], Kamstrup FlowIQ2200 Qp2,5m3/h,G1B(R¾)X130MM DN20,pN16 [54043160]</x:t>
  </x:si>
  <x:si>
    <x:t xml:space="preserve">VIS-VISIO, Existing-20mm Water Meter, 02K-51-AC6G-8ZA</x:t>
  </x:si>
  <x:si>
    <x:t xml:space="preserve">01FB2C8E, 232057762, 54043160</x:t>
  </x:si>
  <x:si>
    <x:t xml:space="preserve">Unit WB03A - New Rama Super Store</x:t>
  </x:si>
  <x:si>
    <x:t xml:space="preserve">2026-04-07 00:00:00</x:t>
  </x:si>
  <x:si>
    <x:t xml:space="preserve">2026-06-08 00:00:00</x:t>
  </x:si>
  <x:si>
    <x:t xml:space="preserve">2026-04-10 09:55:48</x:t>
  </x:si>
  <x:si>
    <x:t xml:space="preserve">2026-04-23 09:56:17</x:t>
  </x:si>
  <x:si>
    <x:t xml:space="preserve">JC10667</x:t>
  </x:si>
  <x:si>
    <x:t xml:space="preserve">Previous JCs  on centricity (JC570285, 565033, 588407) was not repopened. Meters has not called in. Still connected to a lora's</x:t>
  </x:si>
  <x:si>
    <x:t xml:space="preserve">Nautica MR559 Langebaan 7357</x:t>
  </x:si>
  <x:si>
    <x:t xml:space="preserve">2026-04-10 14:23:23</x:t>
  </x:si>
  <x:si>
    <x:t xml:space="preserve">2026-05-05 11:14:41</x:t>
  </x:si>
  <x:si>
    <x:t xml:space="preserve">QU3539</x:t>
  </x:si>
  <x:si>
    <x:t xml:space="preserve">Existing-20mm Water Meter [21000232], Existing-20mm Water Meter [21000241], Existing-20mm Water Meter [21000242]</x:t>
  </x:si>
  <x:si>
    <x:t xml:space="preserve">Existing-20mm Water Meter, Existing-20mm Water Meter, Existing-20mm Water Meter</x:t>
  </x:si>
  <x:si>
    <x:t xml:space="preserve">21000232, 21000241, 21000242</x:t>
  </x:si>
  <x:si>
    <x:t xml:space="preserve">Shop 08; Shop 17; Shop 22</x:t>
  </x:si>
  <x:si>
    <x:t xml:space="preserve">2026-04-30 00:00:00</x:t>
  </x:si>
  <x:si>
    <x:t xml:space="preserve">2026-04-10 14:23:24</x:t>
  </x:si>
  <x:si>
    <x:t xml:space="preserve">JC10668</x:t>
  </x:si>
  <x:si>
    <x:t xml:space="preserve">Duonette Horowitz</x:t>
  </x:si>
  <x:si>
    <x:t xml:space="preserve">admin2@wgproperties.co.za</x:t>
  </x:si>
  <x:si>
    <x:t xml:space="preserve">The water meter has not called in, on the 14th of last month we added an estimation, and it has not called in since</x:t>
  </x:si>
  <x:si>
    <x:t xml:space="preserve">2026-04-10 14:30:34</x:t>
  </x:si>
  <x:si>
    <x:t xml:space="preserve">2026-04-30 11:14:26</x:t>
  </x:si>
  <x:si>
    <x:t xml:space="preserve">Existing-Unknown Water Meter [68607000]</x:t>
  </x:si>
  <x:si>
    <x:t xml:space="preserve">Existing-Unknown Water Meter</x:t>
  </x:si>
  <x:si>
    <x:t xml:space="preserve">68607000</x:t>
  </x:si>
  <x:si>
    <x:t xml:space="preserve">Spar Main</x:t>
  </x:si>
  <x:si>
    <x:t xml:space="preserve">2026-03-01 00:00:00</x:t>
  </x:si>
  <x:si>
    <x:t xml:space="preserve">2026-04-10 14:30:35</x:t>
  </x:si>
  <x:si>
    <x:t xml:space="preserve">2026-05-15 11:59:29</x:t>
  </x:si>
  <x:si>
    <x:t xml:space="preserve">JC10670</x:t>
  </x:si>
  <x:si>
    <x:t xml:space="preserve">Trueprop Industrial One</x:t>
  </x:si>
  <x:si>
    <x:t xml:space="preserve">CS10284</x:t>
  </x:si>
  <x:si>
    <x:t xml:space="preserve">Olivia Erasmus</x:t>
  </x:si>
  <x:si>
    <x:t xml:space="preserve">oerasmus@trueprop.co.za</x:t>
  </x:si>
  <x:si>
    <x:t xml:space="preserve">Multiple meters connected to modem (MSS51837)</x:t>
  </x:si>
  <x:si>
    <x:t xml:space="preserve">Site Manager 3 Fuchs St Alrode Alberton</x:t>
  </x:si>
  <x:si>
    <x:t xml:space="preserve">2026-04-13 09:30:49</x:t>
  </x:si>
  <x:si>
    <x:t xml:space="preserve">2026-04-16 14:59:06</x:t>
  </x:si>
  <x:si>
    <x:t xml:space="preserve">Kamstrup Omnipower V2 Single Phase Direct Connect 100 Amp Symmetrical Terminals No Battery [34321497], Kamstrup Omnipower V2 Three Phase CT Connect 5 Amp [35727109], Kamstrup Omnipower V2 Three Phase CT Connect 5 Amp [35727082], Kamstrup Omnipower V2 Three Phase Direct Connect 100 Amp [35724468], Kamstrup Omnipower V2 Three Phase Direct Connect 100 Amp [35724467]</x:t>
  </x:si>
  <x:si>
    <x:t xml:space="preserve">686-12-111-N24-3101-120, 685-11-355-D24-0111-120, 685-11-355-D24-0111-120, 684-11-311-N24-5111-120, 684-11-311-N24-5111-120</x:t>
  </x:si>
  <x:si>
    <x:t xml:space="preserve">34321497, 35727109, 35727082, 35724468, 35724467</x:t>
  </x:si>
  <x:si>
    <x:t xml:space="preserve">Donovan Willemse, Jamie-Lee Ocks</x:t>
  </x:si>
  <x:si>
    <x:t xml:space="preserve">Multiple - Unit 3 &amp; 6</x:t>
  </x:si>
  <x:si>
    <x:t xml:space="preserve">2026-04-09 00:00:00</x:t>
  </x:si>
  <x:si>
    <x:t xml:space="preserve">2026-05-05 00:00:00</x:t>
  </x:si>
  <x:si>
    <x:t xml:space="preserve">2026-04-13 09:30:50</x:t>
  </x:si>
  <x:si>
    <x:t xml:space="preserve">JC10673</x:t>
  </x:si>
  <x:si>
    <x:t xml:space="preserve">Stephen Grilli (Crushco Quarry)</x:t>
  </x:si>
  <x:si>
    <x:t xml:space="preserve">Stephen.G@raumix.co.za</x:t>
  </x:si>
  <x:si>
    <x:t xml:space="preserve">27836360984</x:t>
  </x:si>
  <x:si>
    <x:t xml:space="preserve">Raumix Crushco Quarry, 9th Road Bredell, Kempton Park, 1501</x:t>
  </x:si>
  <x:si>
    <x:t xml:space="preserve">2026-04-13 13:39:04</x:t>
  </x:si>
  <x:si>
    <x:t xml:space="preserve">SI02_PT_Inspection Scheduled</x:t>
  </x:si>
  <x:si>
    <x:t xml:space="preserve">2026-04-30 10:25:21</x:t>
  </x:si>
  <x:si>
    <x:t xml:space="preserve">SI01_PT_Job Loaded &gt; SI02_PT_Inspection Scheduled</x:t>
  </x:si>
  <x:si>
    <x:t xml:space="preserve">2026-04-13 13:39:05</x:t>
  </x:si>
  <x:si>
    <x:t xml:space="preserve">JC10677</x:t>
  </x:si>
  <x:si>
    <x:t xml:space="preserve">The meter rolled over and the lora is also faulty and not recording the correct consumption. There was a leak and it did not pick it up</x:t>
  </x:si>
  <x:si>
    <x:t xml:space="preserve">Todd Chambers Building 16 Todd St, North End, Gqeberha, 6001</x:t>
  </x:si>
  <x:si>
    <x:t xml:space="preserve">2026-04-14 12:25:31</x:t>
  </x:si>
  <x:si>
    <x:t xml:space="preserve">2026-04-22 08:27:55</x:t>
  </x:si>
  <x:si>
    <x:t xml:space="preserve">QU3548</x:t>
  </x:si>
  <x:si>
    <x:t xml:space="preserve">Existing-20mm Water Meter [19A026440]</x:t>
  </x:si>
  <x:si>
    <x:t xml:space="preserve">Existing-20mm Water Meter</x:t>
  </x:si>
  <x:si>
    <x:t xml:space="preserve">19A026440</x:t>
  </x:si>
  <x:si>
    <x:t xml:space="preserve">Todd Chambers Building muni check</x:t>
  </x:si>
  <x:si>
    <x:t xml:space="preserve">2026-04-14 12:25:32</x:t>
  </x:si>
  <x:si>
    <x:t xml:space="preserve">JC10682</x:t>
  </x:si>
  <x:si>
    <x:t xml:space="preserve">Donsure Properties (PTY) Ltd</x:t>
  </x:si>
  <x:si>
    <x:t xml:space="preserve">CS10086</x:t>
  </x:si>
  <x:si>
    <x:t xml:space="preserve">Nandipha Hasi</x:t>
  </x:si>
  <x:si>
    <x:t xml:space="preserve">NHasi@trueprop.co.za</x:t>
  </x:si>
  <x:si>
    <x:t xml:space="preserve">0829353214</x:t>
  </x:si>
  <x:si>
    <x:t xml:space="preserve">Meter is still connected to a visio. We need to quote on replacing for a smart meter.</x:t>
  </x:si>
  <x:si>
    <x:t xml:space="preserve">6 - 8 Donald Rd Vincent East London 5241</x:t>
  </x:si>
  <x:si>
    <x:t xml:space="preserve">2026-04-14 16:25:41</x:t>
  </x:si>
  <x:si>
    <x:t xml:space="preserve">FF15.1_PT_Reschedule for a fix (issues found on setup)</x:t>
  </x:si>
  <x:si>
    <x:t xml:space="preserve">2026-05-15 11:58:54</x:t>
  </x:si>
  <x:si>
    <x:t xml:space="preserve">QU3552</x:t>
  </x:si>
  <x:si>
    <x:t xml:space="preserve">Visios [00C887DA], Existing-15mm Water Meter [222035328], Kamstrup FlowIQ2200 Qp2,5m3/h,G1B(R¾)X130MM DN20,pN16 [54043158]</x:t>
  </x:si>
  <x:si>
    <x:t xml:space="preserve">VIS-VISIO, Existing-15mm Water Meter, 02K-51-AC6G-8ZA</x:t>
  </x:si>
  <x:si>
    <x:t xml:space="preserve">00C887DA, 222035328, 54043158</x:t>
  </x:si>
  <x:si>
    <x:t xml:space="preserve">Unit 1F7 - Regent Business School - Toilets</x:t>
  </x:si>
  <x:si>
    <x:t xml:space="preserve">2026-04-10 00:00:00</x:t>
  </x:si>
  <x:si>
    <x:t xml:space="preserve">2026-07-06 00:00:00</x:t>
  </x:si>
  <x:si>
    <x:t xml:space="preserve">FF01_BT_Fault picked up &gt; FF02.1_PT_Troubleshoot Remotely &gt; FF04.1_FT_Quote population &gt; FF04.2_FT_Quote to Approve Internal &gt; FF05_FT_Quote Amend/Send &gt; FF06_FT_Quote Sent Awaiting Customer Approval &gt; FF09.2_LT_Job Approved Send Stock &gt; FF10A_PT_Awaiting install by client's techie &gt; FF12.2_QT_Install Sign Off &gt; FF13_LT_Update Stock Used &gt; FF14_BT_Billing Scada Setup &gt; FF15.1_PT_Reschedule for a fix (issues found on setup)</x:t>
  </x:si>
  <x:si>
    <x:t xml:space="preserve">2026-04-14 16:25:42</x:t>
  </x:si>
  <x:si>
    <x:t xml:space="preserve">2026-05-21 10:28:08</x:t>
  </x:si>
  <x:si>
    <x:t xml:space="preserve">JC10684</x:t>
  </x:si>
  <x:si>
    <x:t xml:space="preserve">Wynberg Works Body Corporate C/O De Lucia Properties (Pty) Ltd</x:t>
  </x:si>
  <x:si>
    <x:t xml:space="preserve">CS10531</x:t>
  </x:si>
  <x:si>
    <x:t xml:space="preserve">Annecke de Clerk</x:t>
  </x:si>
  <x:si>
    <x:t xml:space="preserve">anneckedc@delucia.co.za</x:t>
  </x:si>
  <x:si>
    <x:t xml:space="preserve">Replace Unit 15.1
Prepaid meter - Citiq #54746791372
Single Phase meter</x:t>
  </x:si>
  <x:si>
    <x:t xml:space="preserve">Courtney Thompson 40 5th St Wynberg, Sandton 2090</x:t>
  </x:si>
  <x:si>
    <x:t xml:space="preserve">2026-04-15 10:00:38</x:t>
  </x:si>
  <x:si>
    <x:t xml:space="preserve">2026-04-30 09:36:36</x:t>
  </x:si>
  <x:si>
    <x:t xml:space="preserve">QU3551</x:t>
  </x:si>
  <x:si>
    <x:t xml:space="preserve">SI01_PT_Job Loaded &gt; SI04_FT_Quote Population &gt; SI05_FT_Quote Review &gt; SI07_FT_Quote Sent Awaiting Customer Approval &gt; IN10_LT_ Job Approved Send Stock &gt; IN11.2_PT_Schedule REM Tech installation/commission &gt; IN11.1_PT_Awaiting install by client</x:t>
  </x:si>
  <x:si>
    <x:t xml:space="preserve">2026-04-15 10:00:39</x:t>
  </x:si>
  <x:si>
    <x:t xml:space="preserve">lindy@republicmetering.co.za</x:t>
  </x:si>
  <x:si>
    <x:t xml:space="preserve">2026-05-08 10:24:05</x:t>
  </x:si>
  <x:si>
    <x:t xml:space="preserve">JC10685</x:t>
  </x:si>
  <x:si>
    <x:t xml:space="preserve">GONUBIE MOTORS CC</x:t>
  </x:si>
  <x:si>
    <x:t xml:space="preserve">CS10834</x:t>
  </x:si>
  <x:si>
    <x:t xml:space="preserve">Mike J Smith</x:t>
  </x:si>
  <x:si>
    <x:t xml:space="preserve">Mjsmith@bos.co.za</x:t>
  </x:si>
  <x:si>
    <x:t xml:space="preserve">0832271894</x:t>
  </x:si>
  <x:si>
    <x:t xml:space="preserve">U CAN SOLAR Site
Mike from Gonubie Motor requested a quote for a muni check meter.</x:t>
  </x:si>
  <x:si>
    <x:t xml:space="preserve">Gonubie Shell Garage 17 Main Rd Gonubie KuGompo</x:t>
  </x:si>
  <x:si>
    <x:t xml:space="preserve">2026-04-15 15:36:26</x:t>
  </x:si>
  <x:si>
    <x:t xml:space="preserve">2026-04-21 11:32:39</x:t>
  </x:si>
  <x:si>
    <x:t xml:space="preserve">QU3558, QU3559</x:t>
  </x:si>
  <x:si>
    <x:t xml:space="preserve">2026-04-15 15:36:27</x:t>
  </x:si>
  <x:si>
    <x:t xml:space="preserve">2026-04-28 08:49:44</x:t>
  </x:si>
  <x:si>
    <x:t xml:space="preserve">JC10686</x:t>
  </x:si>
  <x:si>
    <x:t xml:space="preserve">Comp Air Workshop. Lillian does not want the replace this meter immediately but some time into the future. Sending a separate quote so they can have it in the meantime.</x:t>
  </x:si>
  <x:si>
    <x:t xml:space="preserve">2026-04-15 16:01:49</x:t>
  </x:si>
  <x:si>
    <x:t xml:space="preserve">2026-04-22 08:29:51</x:t>
  </x:si>
  <x:si>
    <x:t xml:space="preserve">QU3550</x:t>
  </x:si>
  <x:si>
    <x:t xml:space="preserve">Existing-15mm Water Meter [191046620]</x:t>
  </x:si>
  <x:si>
    <x:t xml:space="preserve">Existing-15mm Water Meter</x:t>
  </x:si>
  <x:si>
    <x:t xml:space="preserve">191046620</x:t>
  </x:si>
  <x:si>
    <x:t xml:space="preserve">Comp Air Workshop</x:t>
  </x:si>
  <x:si>
    <x:t xml:space="preserve">FF01_BT_Fault picked up &gt; FF04.1_FT_Quote population &gt; FF06_FT_Quote Sent Awaiting Customer Approval &gt; FF09.2_LT_Job Approved Send Stock &gt; FF10A_PT_Awaiting install by client's techie</x:t>
  </x:si>
  <x:si>
    <x:t xml:space="preserve">2026-04-15 16:01:51</x:t>
  </x:si>
  <x:si>
    <x:t xml:space="preserve">JC10687</x:t>
  </x:si>
  <x:si>
    <x:t xml:space="preserve">Lumibiz (PTY) Ltd</x:t>
  </x:si>
  <x:si>
    <x:t xml:space="preserve">CS10169</x:t>
  </x:si>
  <x:si>
    <x:t xml:space="preserve">Abraham Marais</x:t>
  </x:si>
  <x:si>
    <x:t xml:space="preserve">abraham@fvcec.co.za</x:t>
  </x:si>
  <x:si>
    <x:t xml:space="preserve">0836318822</x:t>
  </x:si>
  <x:si>
    <x:t xml:space="preserve">Meter is still connected to a visio and it has stopped communicating with us. We need to quote on replacing the meter with a smart meter.</x:t>
  </x:si>
  <x:si>
    <x:t xml:space="preserve">Abraham Marais Woestyn Close Montana Tuine Pretoria</x:t>
  </x:si>
  <x:si>
    <x:t xml:space="preserve">2026-04-16 08:08:52</x:t>
  </x:si>
  <x:si>
    <x:t xml:space="preserve">2026-05-05 11:44:55</x:t>
  </x:si>
  <x:si>
    <x:t xml:space="preserve">QU3574</x:t>
  </x:si>
  <x:si>
    <x:t xml:space="preserve">Visios [020148C4], Multi-jet Meter Brass, CL B with Reed Switch 50mm [201112879]</x:t>
  </x:si>
  <x:si>
    <x:t xml:space="preserve">VIS-VISIO, PR-MJM-Brass-50mm</x:t>
  </x:si>
  <x:si>
    <x:t xml:space="preserve">020148C4, 201112879</x:t>
  </x:si>
  <x:si>
    <x:t xml:space="preserve">Donovan Willemse, Jamie-Lee Ocks, Zoë Wille</x:t>
  </x:si>
  <x:si>
    <x:t xml:space="preserve">Meter 3</x:t>
  </x:si>
  <x:si>
    <x:t xml:space="preserve">2026-04-12 00:00:00</x:t>
  </x:si>
  <x:si>
    <x:t xml:space="preserve">2026-07-20 00:00:00</x:t>
  </x:si>
  <x:si>
    <x:t xml:space="preserve">2026-04-16 08:08:54</x:t>
  </x:si>
  <x:si>
    <x:t xml:space="preserve">JC10700</x:t>
  </x:si>
  <x:si>
    <x:t xml:space="preserve">PE Fishing Enterprises (Pty) Ltd</x:t>
  </x:si>
  <x:si>
    <x:t xml:space="preserve">CS10201</x:t>
  </x:si>
  <x:si>
    <x:t xml:space="preserve">24721480 has not called. I will estimate it now till the 17th of April. Billing due 19th.</x:t>
  </x:si>
  <x:si>
    <x:t xml:space="preserve">Cornerstone 20 London Circle Brackenfell South Cape Town</x:t>
  </x:si>
  <x:si>
    <x:t xml:space="preserve">2026-04-20 10:35:27</x:t>
  </x:si>
  <x:si>
    <x:t xml:space="preserve">2026-05-07 10:11:16</x:t>
  </x:si>
  <x:si>
    <x:t xml:space="preserve">Kamstrup DN20 Multical21 Composite 130mm cold water 2.5kl/h WM-Bus [24721480]</x:t>
  </x:si>
  <x:si>
    <x:t xml:space="preserve">24721480</x:t>
  </x:si>
  <x:si>
    <x:t xml:space="preserve">Donovan Willemse, Shane Bowers</x:t>
  </x:si>
  <x:si>
    <x:t xml:space="preserve">Unit 37</x:t>
  </x:si>
  <x:si>
    <x:t xml:space="preserve">2026-04-17 00:00:00</x:t>
  </x:si>
  <x:si>
    <x:t xml:space="preserve">2026-06-17 00:00:00</x:t>
  </x:si>
  <x:si>
    <x:t xml:space="preserve">FF01_BT_Fault picked up &gt; FF02.1_PT_Troubleshoot Remotely &gt; FF10B_PT_Schedule REM Tech installation/commission</x:t>
  </x:si>
  <x:si>
    <x:t xml:space="preserve">2026-05-18 13:05:43</x:t>
  </x:si>
  <x:si>
    <x:t xml:space="preserve">JC10701</x:t>
  </x:si>
  <x:si>
    <x:t xml:space="preserve">Caperfield Investments (Pty) Ltd</x:t>
  </x:si>
  <x:si>
    <x:t xml:space="preserve">CS10059</x:t>
  </x:si>
  <x:si>
    <x:t xml:space="preserve">The meter has stopped communicating since the 16th. It is a PP meter, so we need to get it sorted asap.</x:t>
  </x:si>
  <x:si>
    <x:t xml:space="preserve">Maitland Industrial Park 5 Mowbray Road Maitland Cape Town</x:t>
  </x:si>
  <x:si>
    <x:t xml:space="preserve">2026-04-20 11:08:35</x:t>
  </x:si>
  <x:si>
    <x:t xml:space="preserve">2026-05-05 10:36:38</x:t>
  </x:si>
  <x:si>
    <x:t xml:space="preserve">Box Complete-20MM Plastic SA1508 SABS V (BCP20M20) [210401821]</x:t>
  </x:si>
  <x:si>
    <x:t xml:space="preserve">PR-DWM-PVC-20/20mm</x:t>
  </x:si>
  <x:si>
    <x:t xml:space="preserve">210401821</x:t>
  </x:si>
  <x:si>
    <x:t xml:space="preserve">Unit B08</x:t>
  </x:si>
  <x:si>
    <x:t xml:space="preserve">2026-04-20 00:00:00</x:t>
  </x:si>
  <x:si>
    <x:t xml:space="preserve">FF01_BT_Fault picked up &gt; FF02.1_PT_Troubleshoot Remotely &gt; FF04.1_FT_Quote population &gt; FF06_FT_Quote Sent Awaiting Customer Approval</x:t>
  </x:si>
  <x:si>
    <x:t xml:space="preserve">2026-04-20 11:08:36</x:t>
  </x:si>
  <x:si>
    <x:t xml:space="preserve">2026-05-05 10:36:39</x:t>
  </x:si>
  <x:si>
    <x:t xml:space="preserve">JC10704</x:t>
  </x:si>
  <x:si>
    <x:t xml:space="preserve">Tsolofelo Makola</x:t>
  </x:si>
  <x:si>
    <x:t xml:space="preserve">tmakola@trueprop.co.za</x:t>
  </x:si>
  <x:si>
    <x:t xml:space="preserve">0836265352</x:t>
  </x:si>
  <x:si>
    <x:t xml:space="preserve">The main muni check is not recording any consumption. I suspect the lora has failed.</x:t>
  </x:si>
  <x:si>
    <x:t xml:space="preserve">Site Manager 2 McAdams Street Mbombela</x:t>
  </x:si>
  <x:si>
    <x:t xml:space="preserve">2026-04-20 12:05:41</x:t>
  </x:si>
  <x:si>
    <x:t xml:space="preserve">2026-04-22 12:13:42</x:t>
  </x:si>
  <x:si>
    <x:t xml:space="preserve">QU3564</x:t>
  </x:si>
  <x:si>
    <x:t xml:space="preserve">Existing-80mm Water Meter [20704043]</x:t>
  </x:si>
  <x:si>
    <x:t xml:space="preserve">Existing-80mm Water Meter</x:t>
  </x:si>
  <x:si>
    <x:t xml:space="preserve">20704043</x:t>
  </x:si>
  <x:si>
    <x:t xml:space="preserve">Main Muni check</x:t>
  </x:si>
  <x:si>
    <x:t xml:space="preserve">JC10705</x:t>
  </x:si>
  <x:si>
    <x:t xml:space="preserve">Nu-Sa Prop (Pty) Ltd</x:t>
  </x:si>
  <x:si>
    <x:t xml:space="preserve">CS10194</x:t>
  </x:si>
  <x:si>
    <x:t xml:space="preserve">0832579955</x:t>
  </x:si>
  <x:si>
    <x:t xml:space="preserve">The meter at Transbrikpark has not called in.</x:t>
  </x:si>
  <x:si>
    <x:t xml:space="preserve">Sharon Fynn Cnr Zanemali Rd and Progress St Mthatha</x:t>
  </x:si>
  <x:si>
    <x:t xml:space="preserve">2026-04-21 08:17:39</x:t>
  </x:si>
  <x:si>
    <x:t xml:space="preserve">2026-04-22 12:25:49</x:t>
  </x:si>
  <x:si>
    <x:t xml:space="preserve">QU3563</x:t>
  </x:si>
  <x:si>
    <x:t xml:space="preserve">Existing-20mm Water Meter [232032745]</x:t>
  </x:si>
  <x:si>
    <x:t xml:space="preserve">232032745</x:t>
  </x:si>
  <x:si>
    <x:t xml:space="preserve">Unit 09A</x:t>
  </x:si>
  <x:si>
    <x:t xml:space="preserve">2026-04-18 00:00:00</x:t>
  </x:si>
  <x:si>
    <x:t xml:space="preserve">2026-07-17 00:00:00</x:t>
  </x:si>
  <x:si>
    <x:t xml:space="preserve">2026-04-21 08:17:40</x:t>
  </x:si>
  <x:si>
    <x:t xml:space="preserve">JC10707</x:t>
  </x:si>
  <x:si>
    <x:t xml:space="preserve">Beer Properties (Pty) Ltd</x:t>
  </x:si>
  <x:si>
    <x:t xml:space="preserve">CS10042</x:t>
  </x:si>
  <x:si>
    <x:t xml:space="preserve">Yolande Potgieter</x:t>
  </x:si>
  <x:si>
    <x:t xml:space="preserve">yolande@thebeergroup.co.za</x:t>
  </x:si>
  <x:si>
    <x:t xml:space="preserve">0466362894</x:t>
  </x:si>
  <x:si>
    <x:t xml:space="preserve">The meter has lost communication with Scada, please resolve.</x:t>
  </x:si>
  <x:si>
    <x:t xml:space="preserve">77 Bridge St Mthatha</x:t>
  </x:si>
  <x:si>
    <x:t xml:space="preserve">2026-04-21 09:50:36</x:t>
  </x:si>
  <x:si>
    <x:t xml:space="preserve">FF13_LT_Update Stock Used</x:t>
  </x:si>
  <x:si>
    <x:t xml:space="preserve">2026-05-12 14:49:04</x:t>
  </x:si>
  <x:si>
    <x:t xml:space="preserve">A1140 Three Phase 4W 5A 230V 0.5 TOU RS232 ESK Complex Mid-Range Meters [68108957]</x:t>
  </x:si>
  <x:si>
    <x:t xml:space="preserve">LM3MAABBNHESRBFESK</x:t>
  </x:si>
  <x:si>
    <x:t xml:space="preserve">68108957</x:t>
  </x:si>
  <x:si>
    <x:t xml:space="preserve">Bridge St - Ackermans</x:t>
  </x:si>
  <x:si>
    <x:t xml:space="preserve">2026-04-28 00:00:00</x:t>
  </x:si>
  <x:si>
    <x:t xml:space="preserve">FF01_BT_Fault picked up &gt; FF02.1_PT_Troubleshoot Remotely &gt; FF03.1_PT_Awaiting Client Feedback &gt; FF10B_PT_Schedule REM Tech installation/commission &gt; FF12.2_QT_Install Sign Off &gt; FF13_LT_Update Stock Used</x:t>
  </x:si>
  <x:si>
    <x:t xml:space="preserve">JC10708</x:t>
  </x:si>
  <x:si>
    <x:t xml:space="preserve">Meter is still connected to a visio  ( 028EB317 ) we need to quote on replacing with a smart meter</x:t>
  </x:si>
  <x:si>
    <x:t xml:space="preserve">Kings Mall, Main Road, East London, 5201, (Lize Price - 0609611007)</x:t>
  </x:si>
  <x:si>
    <x:t xml:space="preserve">2026-04-21 09:53:21</x:t>
  </x:si>
  <x:si>
    <x:t xml:space="preserve">2026-05-07 14:45:28</x:t>
  </x:si>
  <x:si>
    <x:t xml:space="preserve">QU3567</x:t>
  </x:si>
  <x:si>
    <x:t xml:space="preserve">Existing-20mm Water Meter [C-SAG8633]</x:t>
  </x:si>
  <x:si>
    <x:t xml:space="preserve">C-SAG8633</x:t>
  </x:si>
  <x:si>
    <x:t xml:space="preserve">Shop 36 - Glammer Zone</x:t>
  </x:si>
  <x:si>
    <x:t xml:space="preserve">2026-04-13 00:00:00</x:t>
  </x:si>
  <x:si>
    <x:t xml:space="preserve">JC10710</x:t>
  </x:si>
  <x:si>
    <x:t xml:space="preserve">Vimba Trading (Pty) Ltd</x:t>
  </x:si>
  <x:si>
    <x:t xml:space="preserve">CS10296</x:t>
  </x:si>
  <x:si>
    <x:t xml:space="preserve">Jessica Kennedy</x:t>
  </x:si>
  <x:si>
    <x:t xml:space="preserve">jess@wildcoast.co.za</x:t>
  </x:si>
  <x:si>
    <x:t xml:space="preserve">Good morning Chelsea,
I hope you are well.
Please could you forward this to the relevant person if not you.
Russell's has a second tenant running off of their electrical supply - is it
possible for you to install a meter to monitor that so the second tenant can
pay Russell's for their consumption?
Kind regards,
Jess
SenseCo</x:t>
  </x:si>
  <x:si>
    <x:t xml:space="preserve">Site Manager Richardson Road Idutywa</x:t>
  </x:si>
  <x:si>
    <x:t xml:space="preserve">2026-04-21 11:38:55</x:t>
  </x:si>
  <x:si>
    <x:t xml:space="preserve">2026-04-23 12:39:42</x:t>
  </x:si>
  <x:si>
    <x:t xml:space="preserve">QU3568</x:t>
  </x:si>
  <x:si>
    <x:t xml:space="preserve">2026-04-28 08:41:57</x:t>
  </x:si>
  <x:si>
    <x:t xml:space="preserve">JC10711</x:t>
  </x:si>
  <x:si>
    <x:t xml:space="preserve">Autobahn Properties (Pty) Ltd</x:t>
  </x:si>
  <x:si>
    <x:t xml:space="preserve">CS10040</x:t>
  </x:si>
  <x:si>
    <x:t xml:space="preserve">Sarah Lower</x:t>
  </x:si>
  <x:si>
    <x:t xml:space="preserve">accounts3@bmiza.com</x:t>
  </x:si>
  <x:si>
    <x:t xml:space="preserve">All meters connected to modem are down. ( MSC30028 )</x:t>
  </x:si>
  <x:si>
    <x:t xml:space="preserve">LBPQ 8 Stephenson St PE</x:t>
  </x:si>
  <x:si>
    <x:t xml:space="preserve">2026-04-22 08:12:07</x:t>
  </x:si>
  <x:si>
    <x:t xml:space="preserve">2026-04-22 10:40:18</x:t>
  </x:si>
  <x:si>
    <x:t xml:space="preserve">A1140 Three Phase 4W 5A 230V 0.5 TOU RS232 ESK Complex Mid-Range Meters [88101104], A1140 Three Phase 4W 100A 230V 1.0 TOU RS232 ESK Complex Mid-Range Meters [18130576], A1140 Three Phase 4W 100A 230V 1.0 TOU RS232 ESK Complex Mid-Range Meters [18130591], A1700,3P4W ,1-6A,63-240V ,0.5,TO U,ESK [31505126]</x:t>
  </x:si>
  <x:si>
    <x:t xml:space="preserve">LM3MAABBNHESRBFESK, LM3BABBBNHESRRFESK, LM3BABBBNHESRRFESK, EL-A1700 1-6A PB3FAAGPNN3KESK</x:t>
  </x:si>
  <x:si>
    <x:t xml:space="preserve">88101104, 18130576, 18130591, 31505126</x:t>
  </x:si>
  <x:si>
    <x:t xml:space="preserve">Muni Check; Units 1 - 3</x:t>
  </x:si>
  <x:si>
    <x:t xml:space="preserve">2026-04-19 00:00:00</x:t>
  </x:si>
  <x:si>
    <x:t xml:space="preserve">2026-05-04 00:00:00</x:t>
  </x:si>
  <x:si>
    <x:t xml:space="preserve">2026-04-22 08:12:09</x:t>
  </x:si>
  <x:si>
    <x:t xml:space="preserve">2026-05-21 09:21:36</x:t>
  </x:si>
  <x:si>
    <x:t xml:space="preserve">JC10713</x:t>
  </x:si>
  <x:si>
    <x:t xml:space="preserve">Moneyline 553 (Pty) Ltd</x:t>
  </x:si>
  <x:si>
    <x:t xml:space="preserve">CS10183</x:t>
  </x:si>
  <x:si>
    <x:t xml:space="preserve">Tarryn Jenkins</x:t>
  </x:si>
  <x:si>
    <x:t xml:space="preserve">tarryn@globalbusiness.co.za</x:t>
  </x:si>
  <x:si>
    <x:t xml:space="preserve">0729723591</x:t>
  </x:si>
  <x:si>
    <x:t xml:space="preserve">Meter connected ( MGC0981)</x:t>
  </x:si>
  <x:si>
    <x:t xml:space="preserve">Vodacom Building 4 Stewart Drive Baysville East London</x:t>
  </x:si>
  <x:si>
    <x:t xml:space="preserve">2026-04-22 08:21:32</x:t>
  </x:si>
  <x:si>
    <x:t xml:space="preserve">FF12.1_PT_Install complete capture info</x:t>
  </x:si>
  <x:si>
    <x:t xml:space="preserve">2026-05-19 11:05:22</x:t>
  </x:si>
  <x:si>
    <x:t xml:space="preserve">A1140 Three Phase 4W 5A 230V 0.5 TOU RS232 ESK Complex Mid-Range Meters [38134446]</x:t>
  </x:si>
  <x:si>
    <x:t xml:space="preserve">38134446</x:t>
  </x:si>
  <x:si>
    <x:t xml:space="preserve">Vodacom</x:t>
  </x:si>
  <x:si>
    <x:t xml:space="preserve">2026-05-07 00:00:00</x:t>
  </x:si>
  <x:si>
    <x:t xml:space="preserve">FF01_BT_Fault picked up &gt; FF02.1_PT_Troubleshoot Remotely &gt; FF03.1_PT_Awaiting Client Feedback &gt; FF10B_PT_Schedule REM Tech installation/commission &gt; FF12.1_PT_Install complete capture info</x:t>
  </x:si>
  <x:si>
    <x:t xml:space="preserve">2026-04-22 08:21:33</x:t>
  </x:si>
  <x:si>
    <x:t xml:space="preserve">2026-05-19 11:05:23</x:t>
  </x:si>
  <x:si>
    <x:t xml:space="preserve">JC10721</x:t>
  </x:si>
  <x:si>
    <x:t xml:space="preserve">Dorbyl Uitenhage (EBOR)</x:t>
  </x:si>
  <x:si>
    <x:t xml:space="preserve">CS10836</x:t>
  </x:si>
  <x:si>
    <x:t xml:space="preserve">Brendon Naidoo</x:t>
  </x:si>
  <x:si>
    <x:t xml:space="preserve">brendon@ebor.co.za</x:t>
  </x:si>
  <x:si>
    <x:t xml:space="preserve">0826026138</x:t>
  </x:si>
  <x:si>
    <x:t xml:space="preserve">Ebor - They want their own internal meter/s to quantify their usage and compare with the bill that they are receiving from SKG?</x:t>
  </x:si>
  <x:si>
    <x:t xml:space="preserve">SKG - Dorbyl Uitenhage (EBOR) Dorbyl Uitenhage, Alexander Park, Kariega, 6229</x:t>
  </x:si>
  <x:si>
    <x:t xml:space="preserve">2026-04-22 13:07:57</x:t>
  </x:si>
  <x:si>
    <x:t xml:space="preserve">2026-04-22 14:01:16</x:t>
  </x:si>
  <x:si>
    <x:t xml:space="preserve">2026-05-14 12:12:26</x:t>
  </x:si>
  <x:si>
    <x:t xml:space="preserve">JC10723</x:t>
  </x:si>
  <x:si>
    <x:t xml:space="preserve">QRY10216 created for a stock sale as Leshay did not have more details of the job. Genergy wants 2 x CT meters that they will be installing at GM.  We will then onboard the meters.
1. Building 1 - PV 400/5A, 2. Hasty Tasty PV - 500/5A.  Waiting for them to issue a PO/payment will then send the stock to them in PE.  Will programme the meters upfront. Siphesihle (0718202622) is the contact person.  Loading a JC so long.</x:t>
  </x:si>
  <x:si>
    <x:t xml:space="preserve">2026-04-22 15:44:54</x:t>
  </x:si>
  <x:si>
    <x:t xml:space="preserve">2026-05-19 12:27:10</x:t>
  </x:si>
  <x:si>
    <x:t xml:space="preserve">Donovan Willemse, Joanne Kumm, Kyle de Agrella, Lindy Maritz, Projects Technical</x:t>
  </x:si>
  <x:si>
    <x:t xml:space="preserve">SI01_PT_Job Loaded &gt; IN11.1_PT_Awaiting install by client</x:t>
  </x:si>
  <x:si>
    <x:t xml:space="preserve">QRY10216</x:t>
  </x:si>
  <x:si>
    <x:t xml:space="preserve">2026-05-21 09:55:53</x:t>
  </x:si>
  <x:si>
    <x:t xml:space="preserve">JC10725</x:t>
  </x:si>
  <x:si>
    <x:t xml:space="preserve">Robhoek Farm</x:t>
  </x:si>
  <x:si>
    <x:t xml:space="preserve">CS10840</x:t>
  </x:si>
  <x:si>
    <x:t xml:space="preserve">Nigel Lok</x:t>
  </x:si>
  <x:si>
    <x:t xml:space="preserve">nigel@robhoek.co.za</x:t>
  </x:si>
  <x:si>
    <x:t xml:space="preserve">U CAN SOLAR Site
Need price to fit 2 meters , 300amp split core ct’s in Tsitsikama.
160A point requiring metering. Price on Solid Core CT’s</x:t>
  </x:si>
  <x:si>
    <x:t xml:space="preserve">X53M+VQF Woodlands</x:t>
  </x:si>
  <x:si>
    <x:t xml:space="preserve">2026-04-23 10:39:44</x:t>
  </x:si>
  <x:si>
    <x:t xml:space="preserve">2026-05-14 08:42:07</x:t>
  </x:si>
  <x:si>
    <x:t xml:space="preserve">QU3576</x:t>
  </x:si>
  <x:si>
    <x:t xml:space="preserve">Kamstrup Omnipower V2 Three Phase CT Connect 5 Amp, Ring CT 30/40mm ID 200/5A CLS 0,5, Split CT UK 40mm ID 300/5A, Small Steel Enclosure 400 x 300 x 200 IP 65, Riecktron M2M Kamstrup Plug In Modem (incl antenna), Installation &amp; Commissioning (less than 7 Meters), Travel Cost, Quote Subject to Change, 50% Deposit required</x:t>
  </x:si>
  <x:si>
    <x:t xml:space="preserve">Donovan Willemse, Kyle de Agrella, Sean Knoetze</x:t>
  </x:si>
  <x:si>
    <x:t xml:space="preserve">SI01_PT_Job Loaded &gt; SI04_FT_Quote Population &gt; SI05_FT_Quote Review &gt; SI06_FT_Quote Amend/Send &gt; SI07_FT_Quote Sent Awaiting Customer Approval &gt; IN10_LT_ Job Approved Send Stock &gt; IN11.2_PT_Schedule REM Tech installation/commission</x:t>
  </x:si>
  <x:si>
    <x:t xml:space="preserve">2026-04-23 10:39:45</x:t>
  </x:si>
  <x:si>
    <x:t xml:space="preserve">2026-05-19 10:58:40</x:t>
  </x:si>
  <x:si>
    <x:t xml:space="preserve">JC10729</x:t>
  </x:si>
  <x:si>
    <x:t xml:space="preserve">Bellingan Properties (Pty) Ltd</x:t>
  </x:si>
  <x:si>
    <x:t xml:space="preserve">CS10043</x:t>
  </x:si>
  <x:si>
    <x:t xml:space="preserve">Aldo Bellingan</x:t>
  </x:si>
  <x:si>
    <x:t xml:space="preserve">aldo@bellinganproperties.co.za</x:t>
  </x:si>
  <x:si>
    <x:t xml:space="preserve">0713824803</x:t>
  </x:si>
  <x:si>
    <x:t xml:space="preserve">Can we please get a quote for a single phase, inline meter, for a 63amp single phase supply. This will be an additional meter for 274 cape Road.</x:t>
  </x:si>
  <x:si>
    <x:t xml:space="preserve">274 Kaleidoscope (Vodacom Acres) 274 Cape Road Newton Park Gqeberha</x:t>
  </x:si>
  <x:si>
    <x:t xml:space="preserve">2026-04-23 16:28:55</x:t>
  </x:si>
  <x:si>
    <x:t xml:space="preserve">2026-05-14 15:56:18</x:t>
  </x:si>
  <x:si>
    <x:t xml:space="preserve">QU3583</x:t>
  </x:si>
  <x:si>
    <x:t xml:space="preserve">Donovan Willemse, Lindy Maritz, Susan Cornelius, Zoë Wille</x:t>
  </x:si>
  <x:si>
    <x:t xml:space="preserve">SI01_PT_Job Loaded &gt; SI04_FT_Quote Population &gt; SI03.2_QT_Quotation Sign Off &gt; SI04_FT_Quote Population &gt; SI05_FT_Quote Review &gt; SI06_FT_Quote Amend/Send &gt; SI07_FT_Quote Sent Awaiting Customer Approval</x:t>
  </x:si>
  <x:si>
    <x:t xml:space="preserve">2026-05-14 15:56:24</x:t>
  </x:si>
  <x:si>
    <x:t xml:space="preserve">JC10730</x:t>
  </x:si>
  <x:si>
    <x:t xml:space="preserve">Derprops 113 (Pty) Ltd</x:t>
  </x:si>
  <x:si>
    <x:t xml:space="preserve">CS10082</x:t>
  </x:si>
  <x:si>
    <x:t xml:space="preserve">Christiaan Rust</x:t>
  </x:si>
  <x:si>
    <x:t xml:space="preserve">christiaan@neulux.co.za</x:t>
  </x:si>
  <x:si>
    <x:t xml:space="preserve">0824630862</x:t>
  </x:si>
  <x:si>
    <x:t xml:space="preserve">Multiple meters connected to the site is down. Please resolve comms</x:t>
  </x:si>
  <x:si>
    <x:t xml:space="preserve">Derprops Industrial Park 23 Wimbledon Road Blackhealth Cape Town</x:t>
  </x:si>
  <x:si>
    <x:t xml:space="preserve">2026-04-24 08:27:13</x:t>
  </x:si>
  <x:si>
    <x:t xml:space="preserve">2026-04-24 10:44:34</x:t>
  </x:si>
  <x:si>
    <x:t xml:space="preserve">Kamstrup Omnipower V2 Three Phase CT Connect 5 Amp [35778903], Kamstrup Omnipower V2 Three Phase CT Connect 5 Amp [35779552], Kamstrup Omnipower V2 Three Phase CT Connect 5 Amp [35779553], Kamstrup Omnipower V2 Three Phase CT Connect 5 Amp [35779550], Kamstrup Omnipower V2 Three Phase CT Connect 5 Amp [35266734], Kamstrup Omnipower V2 Three Phase CT Connect 5 Amp [35266685], Kamstrup Omnipower V2 Three Phase CT Connect 5 Amp [35266684]</x:t>
  </x:si>
  <x:si>
    <x:t xml:space="preserve">685-11-355-D24-0111-120, 685-11-355-D24-0111-120, 685-11-355-D24-0111-120, 685-11-355-D24-0111-120, 685-11-355-D24-0111-120, 685-11-355-D24-0111-120, 685-11-355-D24-0111-120</x:t>
  </x:si>
  <x:si>
    <x:t xml:space="preserve">35778903, 35779552, 35779553, 35779550, 35266734, 35266685, 35266684</x:t>
  </x:si>
  <x:si>
    <x:t xml:space="preserve">2026-04-21 00:00:00</x:t>
  </x:si>
  <x:si>
    <x:t xml:space="preserve">2026-04-24 08:27:14</x:t>
  </x:si>
  <x:si>
    <x:t xml:space="preserve">JC10732</x:t>
  </x:si>
  <x:si>
    <x:t xml:space="preserve">Trueprop Facilities (Pty) Ltd</x:t>
  </x:si>
  <x:si>
    <x:t xml:space="preserve">CS10283</x:t>
  </x:si>
  <x:si>
    <x:t xml:space="preserve">Amaara Khan (32 Dyer)</x:t>
  </x:si>
  <x:si>
    <x:t xml:space="preserve">akhan@trueprop.co.za</x:t>
  </x:si>
  <x:si>
    <x:t xml:space="preserve">0437000160</x:t>
  </x:si>
  <x:si>
    <x:t xml:space="preserve">Meter is still connected to a visio ( 01FBF93F ) and has now lost connectivity</x:t>
  </x:si>
  <x:si>
    <x:t xml:space="preserve">32 Dyer St Arcadia East London 5201</x:t>
  </x:si>
  <x:si>
    <x:t xml:space="preserve">2026-04-24 08:44:56</x:t>
  </x:si>
  <x:si>
    <x:t xml:space="preserve">2026-05-18 16:11:03</x:t>
  </x:si>
  <x:si>
    <x:t xml:space="preserve">QU3603</x:t>
  </x:si>
  <x:si>
    <x:t xml:space="preserve">Visios [01FBF93F], Existing-20mm Water Meter [C-VKE6098]</x:t>
  </x:si>
  <x:si>
    <x:t xml:space="preserve">01FBF93F, C-VKE6098</x:t>
  </x:si>
  <x:si>
    <x:t xml:space="preserve">Kamstrup DN20 Multical21 Composite 130mm cold water 2.5kl/h WM-Bus</x:t>
  </x:si>
  <x:si>
    <x:t xml:space="preserve">Unit 04 - Spacemakers</x:t>
  </x:si>
  <x:si>
    <x:t xml:space="preserve">FF01_BT_Fault picked up &gt; FF02.1_PT_Troubleshoot Remotely &gt; FF03.3_QT_Quotation Sign Off &gt; FF04.1_FT_Quote population &gt; FF04.2_FT_Quote to Approve Internal &gt; FF05_FT_Quote Amend/Send &gt; FF06_FT_Quote Sent Awaiting Customer Approval &gt; FF09.2_LT_Job Approved Send Stock &gt; FF10A_PT_Awaiting install by client's techie</x:t>
  </x:si>
  <x:si>
    <x:t xml:space="preserve">2026-04-24 08:44:57</x:t>
  </x:si>
  <x:si>
    <x:t xml:space="preserve">JC10735</x:t>
  </x:si>
  <x:si>
    <x:t xml:space="preserve">Meter has been down for 3 days - gateway is up, but the lora shows offline. Please note we do not estimate on muni checks, so we need to either resolve or quote on replacing, but take now its a big one. Scada says 150mm but in Servcraft it is 50 - not sure why this discrepancy is there</x:t>
  </x:si>
  <x:si>
    <x:t xml:space="preserve">Abraham Marais Shop 19, Gateway Corner Sarel Baard Crescent Rooihuiskraal, Centurion</x:t>
  </x:si>
  <x:si>
    <x:t xml:space="preserve">2026-04-24 10:34:08</x:t>
  </x:si>
  <x:si>
    <x:t xml:space="preserve">2026-05-05 11:44:43</x:t>
  </x:si>
  <x:si>
    <x:t xml:space="preserve">QU3598</x:t>
  </x:si>
  <x:si>
    <x:t xml:space="preserve">Existing-50mm Water Meter [19725069]</x:t>
  </x:si>
  <x:si>
    <x:t xml:space="preserve">Existing-50mm Water Meter</x:t>
  </x:si>
  <x:si>
    <x:t xml:space="preserve">19725069</x:t>
  </x:si>
  <x:si>
    <x:t xml:space="preserve">2026-05-20 00:00:00</x:t>
  </x:si>
  <x:si>
    <x:t xml:space="preserve">FF01_BT_Fault picked up &gt; FF02.1_PT_Troubleshoot Remotely &gt; FF03.3_QT_Quotation Sign Off &gt; FF04.1_FT_Quote population &gt; FF04.2_FT_Quote to Approve Internal &gt; FF05_FT_Quote Amend/Send &gt; FF06_FT_Quote Sent Awaiting Customer Approval</x:t>
  </x:si>
  <x:si>
    <x:t xml:space="preserve">2026-04-24 10:34:10</x:t>
  </x:si>
  <x:si>
    <x:t xml:space="preserve">JC10763</x:t>
  </x:si>
  <x:si>
    <x:t xml:space="preserve">St Giles House (Pty) Ltd</x:t>
  </x:si>
  <x:si>
    <x:t xml:space="preserve">CS10247</x:t>
  </x:si>
  <x:si>
    <x:t xml:space="preserve">Siyabonga Holoshe (Property Manager - 3 Factory)</x:t>
  </x:si>
  <x:si>
    <x:t xml:space="preserve">shololoshe@trueprop.co.za</x:t>
  </x:si>
  <x:si>
    <x:t xml:space="preserve">0716883879</x:t>
  </x:si>
  <x:si>
    <x:t xml:space="preserve">2145003748 not calling in. Muni Check meter, cannot be estimated. Billing due on the 4th.</x:t>
  </x:si>
  <x:si>
    <x:t xml:space="preserve">3 Factory Rd Queenstown Komani 5320</x:t>
  </x:si>
  <x:si>
    <x:t xml:space="preserve">2026-04-29 08:19:21</x:t>
  </x:si>
  <x:si>
    <x:t xml:space="preserve">2026-05-07 14:58:42</x:t>
  </x:si>
  <x:si>
    <x:t xml:space="preserve">QU3602</x:t>
  </x:si>
  <x:si>
    <x:t xml:space="preserve">INFINITY EVO - BULK METER, CLASS C, T16 80mm [2145003748]</x:t>
  </x:si>
  <x:si>
    <x:t xml:space="preserve">PR-EVO-BWM-80mm (EVODN80CT16T)</x:t>
  </x:si>
  <x:si>
    <x:t xml:space="preserve">2145003748</x:t>
  </x:si>
  <x:si>
    <x:t xml:space="preserve">Muni Check</x:t>
  </x:si>
  <x:si>
    <x:t xml:space="preserve">2026-04-24 00:00:00</x:t>
  </x:si>
  <x:si>
    <x:t xml:space="preserve">2026-07-24 00:00:00</x:t>
  </x:si>
  <x:si>
    <x:t xml:space="preserve">2026-04-29 08:19:22</x:t>
  </x:si>
  <x:si>
    <x:t xml:space="preserve">JC10765</x:t>
  </x:si>
  <x:si>
    <x:t xml:space="preserve">InoFort Proprietary Limited [Island Works]</x:t>
  </x:si>
  <x:si>
    <x:t xml:space="preserve">CS10130</x:t>
  </x:si>
  <x:si>
    <x:t xml:space="preserve">Simphiwe Phelo</x:t>
  </x:si>
  <x:si>
    <x:t xml:space="preserve">spehlo@inospace.com</x:t>
  </x:si>
  <x:si>
    <x:t xml:space="preserve">0681180671</x:t>
  </x:si>
  <x:si>
    <x:t xml:space="preserve">48128064 + 48123813 connected to modem MSS57409 are not calling in. Think it could be the modem. Billing due on the 8th.
32910683 Unit 21 connected to modem MSS33364 also affected.</x:t>
  </x:si>
  <x:si>
    <x:t xml:space="preserve">Island Works 22 Cumberland Rd Paarden Eiland Cape Town</x:t>
  </x:si>
  <x:si>
    <x:t xml:space="preserve">2026-04-29 08:36:27</x:t>
  </x:si>
  <x:si>
    <x:t xml:space="preserve">2026-05-20 14:05:08</x:t>
  </x:si>
  <x:si>
    <x:t xml:space="preserve">QU3633</x:t>
  </x:si>
  <x:si>
    <x:t xml:space="preserve">A1140 Three Phase 4W 5A 230V 0.5 TOU RS232 ESK Complex Mid-Range Meters [48123813], A1140 Three Phase 4W 5A 230V 0.5 TOU RS232 ESK Complex Mid-Range Meters [48128064], Riecktron M2M External Modem with PSU (incl antenna) [MSS57409], Kamstrup Omnipower V2 Three Phase Direct Connect 100 Amp [32910683], Riecktron M2M External Modem with PSU (incl antenna) [MSS66634]</x:t>
  </x:si>
  <x:si>
    <x:t xml:space="preserve">LM3MAABBNHESRBFESK, LM3MAABBNHESRBFESK, M2M-MSS-B(RIECK), 684-11-311-N24-5111-120, M2M-MSS-B(RIECK)</x:t>
  </x:si>
  <x:si>
    <x:t xml:space="preserve">48123813, 48128064, MSS57409, 32910683, MSS66634</x:t>
  </x:si>
  <x:si>
    <x:t xml:space="preserve">Donovan Willemse, Lizette Benn, Tanya Redelinghuys</x:t>
  </x:si>
  <x:si>
    <x:t xml:space="preserve">Unit 05 and Unit 23+24 + Unit 21</x:t>
  </x:si>
  <x:si>
    <x:t xml:space="preserve">2026-04-26 00:00:00</x:t>
  </x:si>
  <x:si>
    <x:t xml:space="preserve">2026-07-08 00:00:00</x:t>
  </x:si>
  <x:si>
    <x:t xml:space="preserve">FF01_BT_Fault picked up &gt; FF02.1_PT_Troubleshoot Remotely &gt; FF03.1_PT_Awaiting Client Feedback &gt; FF03.3_QT_Quotation Sign Off &gt; FF04.1_FT_Quote population &gt; FF03.3_QT_Quotation Sign Off &gt; FF04.1_FT_Quote population &gt; FF04.2_FT_Quote to Approve Internal &gt; FF05_FT_Quote Amend/Send &gt; FF06_FT_Quote Sent Awaiting Customer Approval &gt; FF09.2_LT_Job Approved Send Stock</x:t>
  </x:si>
  <x:si>
    <x:t xml:space="preserve">2026-04-29 08:36:28</x:t>
  </x:si>
  <x:si>
    <x:t xml:space="preserve">2026-05-20 14:05:17</x:t>
  </x:si>
  <x:si>
    <x:t xml:space="preserve">JC10775</x:t>
  </x:si>
  <x:si>
    <x:t xml:space="preserve">East Cape Farms (Pty)Ltd</x:t>
  </x:si>
  <x:si>
    <x:t xml:space="preserve">CS10846</x:t>
  </x:si>
  <x:si>
    <x:t xml:space="preserve">Garick Christiani</x:t>
  </x:si>
  <x:si>
    <x:t xml:space="preserve">ecf@ecffarming.co.za</x:t>
  </x:si>
  <x:si>
    <x:t xml:space="preserve">0833210131</x:t>
  </x:si>
  <x:si>
    <x:t xml:space="preserve">U CAN SOLAR Site 
Ant requested that we quote this client for 2x check meters. 
2x 150A supplies.</x:t>
  </x:si>
  <x:si>
    <x:t xml:space="preserve">Xuka Drift M2HC+WQ7 Dulwane Ugie Area</x:t>
  </x:si>
  <x:si>
    <x:t xml:space="preserve">2026-05-04 08:49:24</x:t>
  </x:si>
  <x:si>
    <x:t xml:space="preserve">2026-05-05 11:19:29</x:t>
  </x:si>
  <x:si>
    <x:t xml:space="preserve">QU3597</x:t>
  </x:si>
  <x:si>
    <x:t xml:space="preserve">Donovan Willemse, Lindy Maritz, Zoë Wille</x:t>
  </x:si>
  <x:si>
    <x:t xml:space="preserve">SI01_PT_Job Loaded &gt; SI03.2_QT_Quotation Sign Off &gt; SI04_FT_Quote Population &gt; SI05_FT_Quote Review &gt; SI06_FT_Quote Amend/Send &gt; SI07_FT_Quote Sent Awaiting Customer Approval</x:t>
  </x:si>
  <x:si>
    <x:t xml:space="preserve">JC10779</x:t>
  </x:si>
  <x:si>
    <x:t xml:space="preserve">Wild Oke (Pty) Ltd</x:t>
  </x:si>
  <x:si>
    <x:t xml:space="preserve">CS10301</x:t>
  </x:si>
  <x:si>
    <x:t xml:space="preserve">Rolene </x:t>
  </x:si>
  <x:si>
    <x:t xml:space="preserve">rentals@remaxfrontier.co.za</x:t>
  </x:si>
  <x:si>
    <x:t xml:space="preserve">The meter has not been calling in for a while. We had an open JC on Centricity, we probably didnt reopen with the crossover.</x:t>
  </x:si>
  <x:si>
    <x:t xml:space="preserve">Antony Wannell 1 Croft Street West Hill Makhanda</x:t>
  </x:si>
  <x:si>
    <x:t xml:space="preserve">2026-05-04 11:58:29</x:t>
  </x:si>
  <x:si>
    <x:t xml:space="preserve">2026-05-21 09:57:51</x:t>
  </x:si>
  <x:si>
    <x:t xml:space="preserve">QU10011, QU3599</x:t>
  </x:si>
  <x:si>
    <x:t xml:space="preserve">Existing-Unknown Water Meter [230037725]</x:t>
  </x:si>
  <x:si>
    <x:t xml:space="preserve">230037725</x:t>
  </x:si>
  <x:si>
    <x:t xml:space="preserve">House and Flat</x:t>
  </x:si>
  <x:si>
    <x:t xml:space="preserve">2025-09-19 00:00:00</x:t>
  </x:si>
  <x:si>
    <x:t xml:space="preserve">JC10781</x:t>
  </x:si>
  <x:si>
    <x:t xml:space="preserve">Styleprops 163 (Pty) Ltd</x:t>
  </x:si>
  <x:si>
    <x:t xml:space="preserve">CS10253</x:t>
  </x:si>
  <x:si>
    <x:t xml:space="preserve">0833949719</x:t>
  </x:si>
  <x:si>
    <x:t xml:space="preserve">The meter is still connected to a visio (00C652C7) The screen is completely black so our assumption is the visio is dead. Billing due on the 14th</x:t>
  </x:si>
  <x:si>
    <x:t xml:space="preserve">Gonubie Centre Unknown (Wendy)</x:t>
  </x:si>
  <x:si>
    <x:t xml:space="preserve">2026-05-04 14:52:39</x:t>
  </x:si>
  <x:si>
    <x:t xml:space="preserve">2026-05-14 11:58:28</x:t>
  </x:si>
  <x:si>
    <x:t xml:space="preserve">QU3610</x:t>
  </x:si>
  <x:si>
    <x:t xml:space="preserve">Visios [00C652C7], Existing-15mm Water Meter [C-VAB3321], Existing-25mm Water Meter [C-VJK6249], Visios [028EB78F], Kamstrup FlowIQ2200 Qp2,5m3/h,G1B(R¾)X130MM DN20,pN16 [54043183], Kamstrup FlowIQ2200 Qp2,5m3/h,G1B(R¾)X130MM DN20,pN16 [54043184]</x:t>
  </x:si>
  <x:si>
    <x:t xml:space="preserve">VIS-VISIO, Existing-15mm Water Meter, Existing-25mm Water Meter, VIS-VISIO, 02K-51-AC6G-8ZA, 02K-51-AC6G-8ZA</x:t>
  </x:si>
  <x:si>
    <x:t xml:space="preserve">00C652C7, C-VAB3321, C-VJK6249, 028EB78F, 54043183, 54043184</x:t>
  </x:si>
  <x:si>
    <x:t xml:space="preserve">Flat 03+Flat 11</x:t>
  </x:si>
  <x:si>
    <x:t xml:space="preserve">2026-07-14 00:00:00</x:t>
  </x:si>
  <x:si>
    <x:t xml:space="preserve">JC10782</x:t>
  </x:si>
  <x:si>
    <x:t xml:space="preserve">Ritzshelf 59 (Pty) Ltd</x:t>
  </x:si>
  <x:si>
    <x:t xml:space="preserve">CS10225</x:t>
  </x:si>
  <x:si>
    <x:t xml:space="preserve">Meter has been down for a while. Please can we fault fix</x:t>
  </x:si>
  <x:si>
    <x:t xml:space="preserve">Site Manager 1 Nelson Mandela Drive Myezo Park Mthatha</x:t>
  </x:si>
  <x:si>
    <x:t xml:space="preserve">2026-05-04 14:57:23</x:t>
  </x:si>
  <x:si>
    <x:t xml:space="preserve">2026-05-06 09:16:38</x:t>
  </x:si>
  <x:si>
    <x:t xml:space="preserve">Riecktron M2M Kamstrup Plug In Modem (incl antenna) [MSK79585], Kamstrup Omnipower V2 Three Phase Direct Connect 100 Amp [36402013]</x:t>
  </x:si>
  <x:si>
    <x:t xml:space="preserve">M2M-MSK-A1, 684-11-311-N24-5111-120</x:t>
  </x:si>
  <x:si>
    <x:t xml:space="preserve">MSK79585, 36402013</x:t>
  </x:si>
  <x:si>
    <x:t xml:space="preserve">Myezo Spar  - Laundry</x:t>
  </x:si>
  <x:si>
    <x:t xml:space="preserve">2026-04-29 00:00:00</x:t>
  </x:si>
  <x:si>
    <x:t xml:space="preserve">JC10797</x:t>
  </x:si>
  <x:si>
    <x:t xml:space="preserve">Inofort Proprietary Limited [Wynberg Workshops Block C]</x:t>
  </x:si>
  <x:si>
    <x:t xml:space="preserve">CS10305</x:t>
  </x:si>
  <x:si>
    <x:t xml:space="preserve">Nadine Beyleveld</x:t>
  </x:si>
  <x:si>
    <x:t xml:space="preserve">nbeyleveld@inospace.com</x:t>
  </x:si>
  <x:si>
    <x:t xml:space="preserve">Meter for C07 is not calling in.</x:t>
  </x:si>
  <x:si>
    <x:t xml:space="preserve">Wynberg Workshops Block C 43 5th Street, Wynberg, Sandton, Johannesburg, 2090 (Nadine)</x:t>
  </x:si>
  <x:si>
    <x:t xml:space="preserve">2026-05-07 08:24:14</x:t>
  </x:si>
  <x:si>
    <x:t xml:space="preserve">2026-05-08 10:24:57</x:t>
  </x:si>
  <x:si>
    <x:t xml:space="preserve">Kamstrup Omnipower V2 Three Phase Direct Connect 100 Amp [34977892]</x:t>
  </x:si>
  <x:si>
    <x:t xml:space="preserve">684-11-311-N24-5111-120</x:t>
  </x:si>
  <x:si>
    <x:t xml:space="preserve">34977892</x:t>
  </x:si>
  <x:si>
    <x:t xml:space="preserve">Unit C07 - (Prepaid)</x:t>
  </x:si>
  <x:si>
    <x:t xml:space="preserve">2026-05-11 00:00:00</x:t>
  </x:si>
  <x:si>
    <x:t xml:space="preserve">2026-05-07 08:24:17</x:t>
  </x:si>
  <x:si>
    <x:t xml:space="preserve">JC10799</x:t>
  </x:si>
  <x:si>
    <x:t xml:space="preserve">Inospace 5 Proprietary Limited [Allandale Exchange]</x:t>
  </x:si>
  <x:si>
    <x:t xml:space="preserve">CS10143</x:t>
  </x:si>
  <x:si>
    <x:t xml:space="preserve">Charne Du Plessis</x:t>
  </x:si>
  <x:si>
    <x:t xml:space="preserve">charned@inospace.com</x:t>
  </x:si>
  <x:si>
    <x:t xml:space="preserve">0847727963</x:t>
  </x:si>
  <x:si>
    <x:t xml:space="preserve">Meter has stopped communicating with us.</x:t>
  </x:si>
  <x:si>
    <x:t xml:space="preserve">Allandale Exchange 917 Morkel's Place Halfway House Midrand</x:t>
  </x:si>
  <x:si>
    <x:t xml:space="preserve">2026-05-07 08:27:54</x:t>
  </x:si>
  <x:si>
    <x:t xml:space="preserve">2026-05-08 10:22:17</x:t>
  </x:si>
  <x:si>
    <x:t xml:space="preserve">Kamstrup Omnipower V2 Three Phase Direct Connect 100 Amp [35267518]</x:t>
  </x:si>
  <x:si>
    <x:t xml:space="preserve">35267518</x:t>
  </x:si>
  <x:si>
    <x:t xml:space="preserve">Common Areas mini sub</x:t>
  </x:si>
  <x:si>
    <x:t xml:space="preserve">2026-05-07 08:27:57</x:t>
  </x:si>
  <x:si>
    <x:t xml:space="preserve">2026-05-08 10:22:18</x:t>
  </x:si>
  <x:si>
    <x:t xml:space="preserve">JC10803</x:t>
  </x:si>
  <x:si>
    <x:t xml:space="preserve">Mabovula Butchery KWY (Pty) Ltd</x:t>
  </x:si>
  <x:si>
    <x:t xml:space="preserve">CS10170</x:t>
  </x:si>
  <x:si>
    <x:t xml:space="preserve">Butchery KWY (Pty) Ltd</x:t>
  </x:si>
  <x:si>
    <x:t xml:space="preserve">mabovulakwt@gmail.com</x:t>
  </x:si>
  <x:si>
    <x:t xml:space="preserve">Justin to commission the existing kamstrup meter measuring the PV.  We will invoice Gareth afterwards for the modem and commissioning. As requested by Gareth Mack</x:t>
  </x:si>
  <x:si>
    <x:t xml:space="preserve">Mabovula Butchery 20 Wellington Street King Williams Town</x:t>
  </x:si>
  <x:si>
    <x:t xml:space="preserve">2026-05-07 11:29:14</x:t>
  </x:si>
  <x:si>
    <x:t xml:space="preserve">IN13.1_PT_Install complete capture info</x:t>
  </x:si>
  <x:si>
    <x:t xml:space="preserve">2026-05-19 08:24:48</x:t>
  </x:si>
  <x:si>
    <x:t xml:space="preserve">SI01_PT_Job Loaded &gt; IN11.2_PT_Schedule REM Tech installation/commission &gt; IN13.1_PT_Install complete capture info</x:t>
  </x:si>
  <x:si>
    <x:t xml:space="preserve">2026-05-19 08:24:49</x:t>
  </x:si>
  <x:si>
    <x:t xml:space="preserve">JC10807</x:t>
  </x:si>
  <x:si>
    <x:t xml:space="preserve">76609164 not calling in. Billing due on the 8th.</x:t>
  </x:si>
  <x:si>
    <x:t xml:space="preserve">2026-05-07 15:48:03</x:t>
  </x:si>
  <x:si>
    <x:t xml:space="preserve">2026-05-11 09:18:59</x:t>
  </x:si>
  <x:si>
    <x:t xml:space="preserve">Kamstrup DN20 Multical21 Composite 130mm cold water 2.5kl/h WM-Bus [76609164]</x:t>
  </x:si>
  <x:si>
    <x:t xml:space="preserve">76609164</x:t>
  </x:si>
  <x:si>
    <x:t xml:space="preserve">Unit 4</x:t>
  </x:si>
  <x:si>
    <x:t xml:space="preserve">2026-04-15 00:00:00</x:t>
  </x:si>
  <x:si>
    <x:t xml:space="preserve">2026-08-08 00:00:00</x:t>
  </x:si>
  <x:si>
    <x:t xml:space="preserve">JC10808</x:t>
  </x:si>
  <x:si>
    <x:t xml:space="preserve">Multiple meters connected to the modem ( M31813) is down.</x:t>
  </x:si>
  <x:si>
    <x:t xml:space="preserve">12 Middle Rd, Anderbolt, Boksburg, 1459</x:t>
  </x:si>
  <x:si>
    <x:t xml:space="preserve">2026-05-08 09:45:24</x:t>
  </x:si>
  <x:si>
    <x:t xml:space="preserve">2026-05-08 10:19:35</x:t>
  </x:si>
  <x:si>
    <x:t xml:space="preserve">Kamstrup Omnipower V2 Three Phase Direct Connect 100 Amp [32911977], Existing Electrical Meter [36929508], Kamstrup Omnipower V2 Three Phase Direct Connect 100 Amp [33493730], Kamstrup Omnipower V2 Three Phase Direct Connect 100 Amp [36084626], Kamstrup Omnipower V2 Three Phase Direct Connect 100 Amp [33493724], Kamstrup Omnipower V2 Three Phase Direct Connect 100 Amp [33493729]</x:t>
  </x:si>
  <x:si>
    <x:t xml:space="preserve">684-11-311-N24-5111-120, Existing Electrical Meter, 684-11-311-N24-5111-120, 684-11-311-N24-5111-120, 684-11-311-N24-5111-120, 684-11-311-N24-5111-120</x:t>
  </x:si>
  <x:si>
    <x:t xml:space="preserve">32911977, 36929508, 33493730, 36084626, 33493724, 33493729</x:t>
  </x:si>
  <x:si>
    <x:t xml:space="preserve">Donovan Willemse, James Nicholls</x:t>
  </x:si>
  <x:si>
    <x:t xml:space="preserve">2026-05-29 00:00:00</x:t>
  </x:si>
  <x:si>
    <x:t xml:space="preserve">2026-05-08 09:45:26</x:t>
  </x:si>
  <x:si>
    <x:t xml:space="preserve">2026-05-21 12:23:57</x:t>
  </x:si>
  <x:si>
    <x:t xml:space="preserve">JC10814</x:t>
  </x:si>
  <x:si>
    <x:t xml:space="preserve">Inrabiz Proprietary Limited [Sebenza Works]</x:t>
  </x:si>
  <x:si>
    <x:t xml:space="preserve">CS10146</x:t>
  </x:si>
  <x:si>
    <x:t xml:space="preserve">Sharon da Silva</x:t>
  </x:si>
  <x:si>
    <x:t xml:space="preserve">sdasilva@inospace.com</x:t>
  </x:si>
  <x:si>
    <x:t xml:space="preserve">0876250490</x:t>
  </x:si>
  <x:si>
    <x:t xml:space="preserve">The meter has a note that the load cable has been removed, but it is no longer vacant. So there is no consumption.</x:t>
  </x:si>
  <x:si>
    <x:t xml:space="preserve">Sebenza Works, 131 Terrace Road, Sebenza Edenvale, Johannesburg, 1609 (Chane and Leander)</x:t>
  </x:si>
  <x:si>
    <x:t xml:space="preserve">2026-05-11 10:37:13</x:t>
  </x:si>
  <x:si>
    <x:t xml:space="preserve">2026-05-11 16:25:48</x:t>
  </x:si>
  <x:si>
    <x:t xml:space="preserve">Kamstrup Omnipower V2 Three Phase Direct Connect 100 Amp [33493414]</x:t>
  </x:si>
  <x:si>
    <x:t xml:space="preserve">33493414</x:t>
  </x:si>
  <x:si>
    <x:t xml:space="preserve">Unit 11 - Nova Power</x:t>
  </x:si>
  <x:si>
    <x:t xml:space="preserve">2025-09-24 00:00:00</x:t>
  </x:si>
  <x:si>
    <x:t xml:space="preserve">2026-05-11 10:37:14</x:t>
  </x:si>
  <x:si>
    <x:t xml:space="preserve">JC10816</x:t>
  </x:si>
  <x:si>
    <x:t xml:space="preserve">Midgallagher Industrial Park (Pty) Ltd</x:t>
  </x:si>
  <x:si>
    <x:t xml:space="preserve">CS10178</x:t>
  </x:si>
  <x:si>
    <x:t xml:space="preserve">Innocent Nkondlwane</x:t>
  </x:si>
  <x:si>
    <x:t xml:space="preserve">innocentn2@servest.co.za</x:t>
  </x:si>
  <x:si>
    <x:t xml:space="preserve">0820711063</x:t>
  </x:si>
  <x:si>
    <x:t xml:space="preserve">A few meters have been down since Friday, we need to resolve comms. And these are not meters that call in sporadically.</x:t>
  </x:si>
  <x:si>
    <x:t xml:space="preserve">Site Manager 33 Orchards Drive Richards Rd Halfway House</x:t>
  </x:si>
  <x:si>
    <x:t xml:space="preserve">2026-05-12 09:26:39</x:t>
  </x:si>
  <x:si>
    <x:t xml:space="preserve">2026-05-13 08:56:01</x:t>
  </x:si>
  <x:si>
    <x:t xml:space="preserve">Kamstrup DN15 (20mm) FlowIQ2200 Composite Threaded 110mm cold water 1.5kl/h R250 WM-Bus/LinkIQ [12992737], Kamstrup DN15 (20mm) FlowIQ2200 Composite Threaded 110mm cold water 1.5kl/h R250 WM-Bus/LinkIQ [12992739], Kamstrup DN15 (20mm) FlowIQ2200 Composite Threaded 110mm cold water 1.5kl/h R250 WM-Bus/LinkIQ [12992741], Kamstrup DN15 (20mm) FlowIQ2200 Composite Threaded 110mm cold water 1.5kl/h R250 WM-Bus/LinkIQ [12992740]</x:t>
  </x:si>
  <x:si>
    <x:t xml:space="preserve">02K-51-AC1B-817, 02K-51-AC1B-817, 02K-51-AC1B-817, 02K-51-AC1B-817</x:t>
  </x:si>
  <x:si>
    <x:t xml:space="preserve">12992737, 12992739, 12992741, 12992740</x:t>
  </x:si>
  <x:si>
    <x:t xml:space="preserve">Units 01, 02, 03, 04</x:t>
  </x:si>
  <x:si>
    <x:t xml:space="preserve">2026-05-08 00:00:00</x:t>
  </x:si>
  <x:si>
    <x:t xml:space="preserve">2026-05-12 09:26:40</x:t>
  </x:si>
  <x:si>
    <x:t xml:space="preserve">2026-05-13 08:56:02</x:t>
  </x:si>
  <x:si>
    <x:t xml:space="preserve">JC10820</x:t>
  </x:si>
  <x:si>
    <x:t xml:space="preserve">Eagle Creek Investments 319 (Pty) Ltd</x:t>
  </x:si>
  <x:si>
    <x:t xml:space="preserve">CS10088</x:t>
  </x:si>
  <x:si>
    <x:t xml:space="preserve">Meter is not communicating with us. Please can we resolve comms. Billing due 19th.</x:t>
  </x:si>
  <x:si>
    <x:t xml:space="preserve">Old Showgrounds Martin St Sydenham Gqebhera</x:t>
  </x:si>
  <x:si>
    <x:t xml:space="preserve">2026-05-13 09:27:48</x:t>
  </x:si>
  <x:si>
    <x:t xml:space="preserve">2026-05-14 16:27:48</x:t>
  </x:si>
  <x:si>
    <x:t xml:space="preserve">Kamstrup DN100 FlowIQ3200 Stainless Steel Flanged 360mm cold water 60kl/h R250 WM-Bus/LinkIQ [54257996]</x:t>
  </x:si>
  <x:si>
    <x:t xml:space="preserve">02L-60-DCAJ-8ZA</x:t>
  </x:si>
  <x:si>
    <x:t xml:space="preserve">54257996</x:t>
  </x:si>
  <x:si>
    <x:t xml:space="preserve">Unit 1 - Fresenius Kabi</x:t>
  </x:si>
  <x:si>
    <x:t xml:space="preserve">2026-05-09 00:00:00</x:t>
  </x:si>
  <x:si>
    <x:t xml:space="preserve">2026-05-13 09:27:49</x:t>
  </x:si>
  <x:si>
    <x:t xml:space="preserve">2026-05-18 15:13:36</x:t>
  </x:si>
  <x:si>
    <x:t xml:space="preserve">JC10825</x:t>
  </x:si>
  <x:si>
    <x:t xml:space="preserve">U CAN SOLAR (Pty) Ltd</x:t>
  </x:si>
  <x:si>
    <x:t xml:space="preserve">CS10769</x:t>
  </x:si>
  <x:si>
    <x:t xml:space="preserve">Anthony Schwedhelm</x:t>
  </x:si>
  <x:si>
    <x:t xml:space="preserve">Ant@u-cansolar.co.za</x:t>
  </x:si>
  <x:si>
    <x:t xml:space="preserve">Data importing.</x:t>
  </x:si>
  <x:si>
    <x:t xml:space="preserve">3 Kloof Street Gonubie North East London Eastern Cape</x:t>
  </x:si>
  <x:si>
    <x:t xml:space="preserve">2026-05-14 14:08:43</x:t>
  </x:si>
  <x:si>
    <x:t xml:space="preserve">2026-05-15 10:39:46</x:t>
  </x:si>
  <x:si>
    <x:t xml:space="preserve">SI01_PT_Job Loaded &gt; IN15_BT_Billing Scada Setup &gt; IN18_FT_Final invoice and check monthlies</x:t>
  </x:si>
  <x:si>
    <x:t xml:space="preserve">2026-05-14 14:08:44</x:t>
  </x:si>
  <x:si>
    <x:t xml:space="preserve">JC10826</x:t>
  </x:si>
  <x:si>
    <x:t xml:space="preserve">Meter has not connected to us. It is connected to the modem ( MSS29997 )</x:t>
  </x:si>
  <x:si>
    <x:t xml:space="preserve">Site Manager 10 Essex St Tunney Ext. 10 Germiston</x:t>
  </x:si>
  <x:si>
    <x:t xml:space="preserve">2026-05-15 08:39:31</x:t>
  </x:si>
  <x:si>
    <x:t xml:space="preserve">2026-05-15 09:15:50</x:t>
  </x:si>
  <x:si>
    <x:t xml:space="preserve">A1140 Three Phase 4W 5A 230V 0.5 TOU RS232 ESK Complex Mid-Range Meters [68116776], A1140 Three Phase 4W 5A 230V 0.5 TOU RS232 ESK Complex Mid-Range Meters [68116769]</x:t>
  </x:si>
  <x:si>
    <x:t xml:space="preserve">LM3MAABBNHESRBFESK, LM3MAABBNHESRBFESK</x:t>
  </x:si>
  <x:si>
    <x:t xml:space="preserve">68116776, 68116769</x:t>
  </x:si>
  <x:si>
    <x:t xml:space="preserve">DB MSS 1 &amp; MSS 2</x:t>
  </x:si>
  <x:si>
    <x:t xml:space="preserve">2026-06-15 00:00:00</x:t>
  </x:si>
  <x:si>
    <x:t xml:space="preserve">2026-05-15 08:39:32</x:t>
  </x:si>
  <x:si>
    <x:t xml:space="preserve">JC10830</x:t>
  </x:si>
  <x:si>
    <x:t xml:space="preserve">Energyworx</x:t>
  </x:si>
  <x:si>
    <x:t xml:space="preserve">CS10095</x:t>
  </x:si>
  <x:si>
    <x:t xml:space="preserve">Khaled El-Jabi</x:t>
  </x:si>
  <x:si>
    <x:t xml:space="preserve">khaled@energyworxsa.com</x:t>
  </x:si>
  <x:si>
    <x:t xml:space="preserve">0734541412</x:t>
  </x:si>
  <x:si>
    <x:t xml:space="preserve">Please can you get the info of what these three meters measure? We need to update scada and then pass on to billing to upload.
35779523 - EDEN VIEW
35779525 - EDEN VIEW
35779536 - EDEN VIEW</x:t>
  </x:si>
  <x:si>
    <x:t xml:space="preserve">Eden View Lifestyle Estate N2, Plettenberg Bay, 6600 (Khaled)</x:t>
  </x:si>
  <x:si>
    <x:t xml:space="preserve">2026-05-15 15:16:27</x:t>
  </x:si>
  <x:si>
    <x:t xml:space="preserve">2026-05-15 15:16:57</x:t>
  </x:si>
  <x:si>
    <x:t xml:space="preserve">SI01_PT_Job Loaded &gt; IN13.1_PT_Install complete capture info</x:t>
  </x:si>
  <x:si>
    <x:t xml:space="preserve">2026-05-15 15:16:28</x:t>
  </x:si>
  <x:si>
    <x:t xml:space="preserve">JC10837</x:t>
  </x:si>
  <x:si>
    <x:t xml:space="preserve">Donvin Properties (Pty) Ltd</x:t>
  </x:si>
  <x:si>
    <x:t xml:space="preserve">CS10087</x:t>
  </x:si>
  <x:si>
    <x:t xml:space="preserve">Tracey-Lee Endley</x:t>
  </x:si>
  <x:si>
    <x:t xml:space="preserve">tendley@trueprop.co.za</x:t>
  </x:si>
  <x:si>
    <x:t xml:space="preserve">0765221269</x:t>
  </x:si>
  <x:si>
    <x:t xml:space="preserve">The new KMP water meter has not called in, we need to resolve comms please.</x:t>
  </x:si>
  <x:si>
    <x:t xml:space="preserve">Fish Hoek 1st Floor Town Square Main Rd Fish Hoek</x:t>
  </x:si>
  <x:si>
    <x:t xml:space="preserve">2026-05-19 09:54:50</x:t>
  </x:si>
  <x:si>
    <x:t xml:space="preserve">2026-05-20 08:25:08</x:t>
  </x:si>
  <x:si>
    <x:t xml:space="preserve">Kamstrup FlowIQ2200 Qp2,5m3/h,G1B(R¾)X130MM DN20,pN16 [54043871]</x:t>
  </x:si>
  <x:si>
    <x:t xml:space="preserve">02K-51-AC6G-8ZA</x:t>
  </x:si>
  <x:si>
    <x:t xml:space="preserve">54043871</x:t>
  </x:si>
  <x:si>
    <x:t xml:space="preserve">Woolworths Food</x:t>
  </x:si>
  <x:si>
    <x:t xml:space="preserve">2026-05-15 00:00:00</x:t>
  </x:si>
  <x:si>
    <x:t xml:space="preserve">JC10838</x:t>
  </x:si>
  <x:si>
    <x:t xml:space="preserve">Callasage 15 (Pty) Ltd</x:t>
  </x:si>
  <x:si>
    <x:t xml:space="preserve">CS10706</x:t>
  </x:si>
  <x:si>
    <x:t xml:space="preserve">Meter is struggling with comms. We need to please solve comms.</x:t>
  </x:si>
  <x:si>
    <x:t xml:space="preserve">Spilo Business Park Cnr. Drommedaris and Skoenmaker str Dal Josafat Paarl 7646 (Shane R)</x:t>
  </x:si>
  <x:si>
    <x:t xml:space="preserve">2026-05-19 10:15:16</x:t>
  </x:si>
  <x:si>
    <x:t xml:space="preserve">2026-05-20 09:13:09</x:t>
  </x:si>
  <x:si>
    <x:t xml:space="preserve">Kamstrup DN20 Multical21 Composite 130mm cold water 2.5kl/h WM-Bus [24722017]</x:t>
  </x:si>
  <x:si>
    <x:t xml:space="preserve">24722017</x:t>
  </x:si>
  <x:si>
    <x:t xml:space="preserve">Unit 09 - Baie Goeters</x:t>
  </x:si>
  <x:si>
    <x:t xml:space="preserve">2026-05-19 10:15:17</x:t>
  </x:si>
  <x:si>
    <x:t xml:space="preserve">JC10846</x:t>
  </x:si>
  <x:si>
    <x:t xml:space="preserve">Clublink (Pty) Ltd</x:t>
  </x:si>
  <x:si>
    <x:t xml:space="preserve">CS10069</x:t>
  </x:si>
  <x:si>
    <x:t xml:space="preserve">Yolande@thebeergroup.co.za</x:t>
  </x:si>
  <x:si>
    <x:t xml:space="preserve">Meter in the kiosk is not calling in.</x:t>
  </x:si>
  <x:si>
    <x:t xml:space="preserve">PGM (Peppergrove Mall) African Street Grahamstown 6139</x:t>
  </x:si>
  <x:si>
    <x:t xml:space="preserve">2026-05-21 08:36:22</x:t>
  </x:si>
  <x:si>
    <x:t xml:space="preserve">FF02.1_PT_Troubleshoot Remotely</x:t>
  </x:si>
  <x:si>
    <x:t xml:space="preserve">2026-05-21 08:36:34</x:t>
  </x:si>
  <x:si>
    <x:t xml:space="preserve">Kamstrup Omnipower V2 Three Phase Direct Connect 100 Amp [36114389]</x:t>
  </x:si>
  <x:si>
    <x:t xml:space="preserve">36114389</x:t>
  </x:si>
  <x:si>
    <x:t xml:space="preserve">PGM - Tekkie Town Kiosk 2 - Shop 27</x:t>
  </x:si>
  <x:si>
    <x:t xml:space="preserve">2026-05-18 00:00:00</x:t>
  </x:si>
  <x:si>
    <x:t xml:space="preserve">2026-05-28 00:00:00</x:t>
  </x:si>
  <x:si>
    <x:t xml:space="preserve">FF01_BT_Fault picked up &gt; FF02.1_PT_Troubleshoot Remotely</x:t>
  </x:si>
  <x:si>
    <x:t xml:space="preserve">2026-05-21 08:36:23</x:t>
  </x:si>
  <x:si>
    <x:t xml:space="preserve">JC10847</x:t>
  </x:si>
  <x:si>
    <x:t xml:space="preserve">Some meters that have not called in, I checked on M2M and there is not consumption since the 15th</x:t>
  </x:si>
  <x:si>
    <x:t xml:space="preserve">2026-05-21 08:52:18</x:t>
  </x:si>
  <x:si>
    <x:t xml:space="preserve">2026-05-21 08:52:27</x:t>
  </x:si>
  <x:si>
    <x:t xml:space="preserve">Fish Hoek - Shop 05 to 07 - Woolworths (Hot Food)</x:t>
  </x:si>
  <x:si>
    <x:t xml:space="preserve">2026-05-21 08:52:19</x:t>
  </x:si>
  <x:si>
    <x:t xml:space="preserve">2026-05-21 08:52:28</x:t>
  </x:si>
  <x:si>
    <x:t xml:space="preserve">JC10848</x:t>
  </x:si>
  <x:si>
    <x:t xml:space="preserve">Meter has not connected in a few days. Need to resolve comms issues</x:t>
  </x:si>
  <x:si>
    <x:t xml:space="preserve">2026-05-21 08:58:07</x:t>
  </x:si>
  <x:si>
    <x:t xml:space="preserve">2026-05-21 08:58:18</x:t>
  </x:si>
  <x:si>
    <x:t xml:space="preserve">Kamstrup DN15 (20mm) FlowIQ2200 Composite Threaded 110mm cold water 1.5kl/h R250 WM-Bus/LinkIQ [12992775]</x:t>
  </x:si>
  <x:si>
    <x:t xml:space="preserve">12992775</x:t>
  </x:si>
  <x:si>
    <x:t xml:space="preserve">Hillcrest - Shop 01 - Spar Tops - Water</x:t>
  </x:si>
  <x:si>
    <x:t xml:space="preserve">2026-05-21 08:58:08</x:t>
  </x:si>
  <x:si>
    <x:t xml:space="preserve">JC10852</x:t>
  </x:si>
  <x:si>
    <x:t xml:space="preserve">Inospace 2 (Pty) Ltd - Silo Exchange</x:t>
  </x:si>
  <x:si>
    <x:t xml:space="preserve">CS10666</x:t>
  </x:si>
  <x:si>
    <x:t xml:space="preserve">Clinton Theys</x:t>
  </x:si>
  <x:si>
    <x:t xml:space="preserve">ctheys@inospace.com</x:t>
  </x:si>
  <x:si>
    <x:t xml:space="preserve">The meter connected to the modem ( MSS6384)  is not calling in</x:t>
  </x:si>
  <x:si>
    <x:t xml:space="preserve">Silo Exchange Brug St, Triangle Farm, Cape Town, 7530</x:t>
  </x:si>
  <x:si>
    <x:t xml:space="preserve">2026-05-22 08:13:25</x:t>
  </x:si>
  <x:si>
    <x:t xml:space="preserve">2026-05-22 08:13:37</x:t>
  </x:si>
  <x:si>
    <x:t xml:space="preserve">AS3000 Three Phase SMART Meter (AS3000) [6552365]</x:t>
  </x:si>
  <x:si>
    <x:t xml:space="preserve">EL-AS3000</x:t>
  </x:si>
  <x:si>
    <x:t xml:space="preserve">6552365</x:t>
  </x:si>
  <x:si>
    <x:t xml:space="preserve">Unit 14 - FG Generators</x:t>
  </x:si>
  <x:si>
    <x:t xml:space="preserve">2026-05-17 00:00:00</x:t>
  </x:si>
  <x:si>
    <x:t xml:space="preserve">2026-05-22 08:13:26</x:t>
  </x:si>
</x:sst>
</file>

<file path=xl/styles.xml><?xml version="1.0" encoding="utf-8"?>
<x:styleSheet xmlns:x="http://schemas.openxmlformats.org/spreadsheetml/2006/main">
  <x:numFmts count="2">
    <x:numFmt numFmtId="164" formatCode="### ### ##0"/>
    <x:numFmt numFmtId="165" formatCode="R### ### ##0.00"/>
  </x:numFmts>
  <x:fonts count="8">
    <x:font>
      <x:sz val="11"/>
      <x:name val="Aptos Narrow"/>
    </x:font>
    <x:font>
      <x:b/>
      <x:sz val="11"/>
      <x:name val="Aptos Narrow"/>
    </x:font>
    <x:font>
      <x:sz val="10"/>
      <x:color rgb="FFFFFF"/>
      <x:name val="Aptos Narrow"/>
    </x:font>
    <x:font>
      <x:b/>
      <x:sz val="11"/>
      <x:color rgb="FFFFFF"/>
      <x:name val="Aptos Narrow"/>
    </x:font>
    <x:font>
      <x:b/>
      <x:sz val="18"/>
      <x:color rgb="FFFFFF"/>
      <x:name val="Aptos Narrow"/>
    </x:font>
    <x:font>
      <x:i/>
      <x:sz val="11"/>
      <x:color rgb="334155"/>
      <x:name val="Aptos Narrow"/>
    </x:font>
    <x:font>
      <x:b/>
      <x:sz val="16"/>
      <x:name val="Aptos Narrow"/>
    </x:font>
    <x:font>
      <x:b/>
      <x:sz val="16"/>
      <x:color rgb="FFFFFF"/>
      <x:name val="Aptos Narrow"/>
    </x:font>
  </x:fonts>
  <x:fills count="16">
    <x:fill>
      <x:patternFill patternType="none"/>
    </x:fill>
    <x:fill>
      <x:patternFill patternType="gray125"/>
    </x:fill>
    <x:fill>
      <x:patternFill patternType="solid">
        <x:fgColor rgb="54C8E1"/>
      </x:patternFill>
    </x:fill>
    <x:fill>
      <x:patternFill patternType="solid">
        <x:fgColor rgb="136ACD"/>
      </x:patternFill>
    </x:fill>
    <x:fill>
      <x:patternFill patternType="solid">
        <x:fgColor rgb="39DCD9"/>
      </x:patternFill>
    </x:fill>
    <x:fill>
      <x:patternFill patternType="solid">
        <x:fgColor rgb="FFFFFF"/>
      </x:patternFill>
    </x:fill>
    <x:fill>
      <x:patternFill patternType="solid">
        <x:fgColor rgb="FFB4B4"/>
      </x:patternFill>
    </x:fill>
    <x:fill>
      <x:patternFill patternType="solid">
        <x:fgColor rgb="C4D79B"/>
      </x:patternFill>
    </x:fill>
    <x:fill>
      <x:patternFill patternType="solid">
        <x:fgColor rgb="FABF8F"/>
      </x:patternFill>
    </x:fill>
    <x:fill>
      <x:patternFill patternType="solid">
        <x:fgColor rgb="1F4E78"/>
      </x:patternFill>
    </x:fill>
    <x:fill>
      <x:patternFill patternType="solid">
        <x:fgColor rgb="0F172A"/>
      </x:patternFill>
    </x:fill>
    <x:fill>
      <x:patternFill patternType="solid">
        <x:fgColor rgb="E2E8F0"/>
      </x:patternFill>
    </x:fill>
    <x:fill>
      <x:patternFill patternType="solid">
        <x:fgColor rgb="F8FAFC"/>
      </x:patternFill>
    </x:fill>
    <x:fill>
      <x:patternFill patternType="solid">
        <x:fgColor rgb="334155"/>
      </x:patternFill>
    </x:fill>
    <x:fill>
      <x:patternFill patternType="solid">
        <x:fgColor rgb="FFFFFF"/>
      </x:patternFill>
    </x:fill>
    <x:fill>
      <x:patternFill patternType="solid">
        <x:fgColor rgb="0F766E"/>
      </x:patternFill>
    </x:fill>
  </x:fills>
  <x:borders count="6">
    <x:border/>
    <x:border>
      <x:left style="medium">
        <x:color rgb="000000"/>
      </x:left>
      <x:right style="medium">
        <x:color rgb="000000"/>
      </x:right>
      <x:top style="medium">
        <x:color rgb="000000"/>
      </x:top>
      <x:bottom style="medium">
        <x:color rgb="000000"/>
      </x:bottom>
    </x:border>
    <x:border>
      <x:left style="thin">
        <x:color rgb="808080"/>
      </x:left>
      <x:right style="thin">
        <x:color rgb="808080"/>
      </x:right>
      <x:top style="thin">
        <x:color rgb="808080"/>
      </x:top>
      <x:bottom style="thin">
        <x:color rgb="808080"/>
      </x:bottom>
    </x:border>
    <x:border>
      <x:left style="thin">
        <x:color rgb="000000"/>
      </x:left>
      <x:right style="thin">
        <x:color rgb="000000"/>
      </x:right>
      <x:bottom style="thin">
        <x:color rgb="000000"/>
      </x:bottom>
    </x:border>
    <x:border>
      <x:left style="thin">
        <x:color rgb="000000"/>
      </x:left>
      <x:right style="thin">
        <x:color rgb="000000"/>
      </x:right>
      <x:top style="thin">
        <x:color rgb="000000"/>
      </x:top>
      <x:bottom style="thin">
        <x:color rgb="000000"/>
      </x:bottom>
    </x:border>
    <x:border>
      <x:left style="thin">
        <x:color rgb="808080"/>
      </x:left>
      <x:right style="thin">
        <x:color rgb="808080"/>
      </x:right>
      <x:top style="thin">
        <x:color rgb="808080"/>
      </x:top>
      <x:bottom style="thin">
        <x:color rgb="808080"/>
      </x:bottom>
    </x:border>
  </x:borders>
  <x:cellStyleXfs count="17">
    <x:xf numFmtId="0" fontId="0"/>
    <x:xf numFmtId="0" fontId="1" fillId="2" borderId="1" applyFont="1" applyFill="1" applyBorder="1" applyAlignment="1">
      <x:alignment horizontal="center" vertical="center"/>
    </x:xf>
    <x:xf numFmtId="0" fontId="2" fillId="3" borderId="0" applyFont="1" applyFill="1" applyAlignment="1">
      <x:alignment horizontal="center" vertical="center" wrapText="1"/>
    </x:xf>
    <x:xf numFmtId="0" fontId="2" fillId="3" borderId="2" applyFont="1" applyFill="1" applyBorder="1" applyAlignment="1">
      <x:alignment horizontal="center" vertical="center"/>
    </x:xf>
    <x:xf numFmtId="0" fontId="0" fillId="4" borderId="1" applyFill="1" applyBorder="1" applyAlignment="1">
      <x:alignment horizontal="center" vertical="center"/>
    </x:xf>
    <x:xf numFmtId="0" fontId="0" fillId="5" borderId="3" applyFill="1" applyBorder="1" applyAlignment="1">
      <x:alignment horizontal="left" vertical="center"/>
    </x:xf>
    <x:xf numFmtId="0" fontId="0" fillId="6" borderId="3" applyFill="1" applyBorder="1" applyAlignment="1">
      <x:alignment horizontal="left" vertical="center"/>
    </x:xf>
    <x:xf numFmtId="164" fontId="0" fillId="5" borderId="3" applyNumberFormat="1" applyFill="1" applyBorder="1" applyAlignment="1">
      <x:alignment horizontal="right" vertical="center"/>
    </x:xf>
    <x:xf numFmtId="164" fontId="1" fillId="5" borderId="1" applyNumberFormat="1" applyFont="1" applyFill="1" applyBorder="1" applyAlignment="1">
      <x:alignment horizontal="right" vertical="center"/>
    </x:xf>
    <x:xf numFmtId="165" fontId="1" fillId="5" borderId="1" applyNumberFormat="1" applyFont="1" applyFill="1" applyBorder="1" applyAlignment="1">
      <x:alignment horizontal="right" vertical="center"/>
    </x:xf>
    <x:xf numFmtId="165" fontId="0" fillId="5" borderId="3" applyNumberFormat="1" applyFill="1" applyBorder="1" applyAlignment="1">
      <x:alignment horizontal="right" vertical="center"/>
    </x:xf>
    <x:xf numFmtId="2" fontId="0" fillId="5" borderId="3" applyNumberFormat="1" applyFill="1" applyBorder="1" applyAlignment="1">
      <x:alignment horizontal="right" vertical="center"/>
    </x:xf>
    <x:xf numFmtId="0" fontId="0" fillId="5" borderId="4" applyFill="1" applyBorder="1" applyAlignment="1">
      <x:alignment horizontal="left" vertical="center"/>
    </x:xf>
    <x:xf numFmtId="165" fontId="0" fillId="5" borderId="4" applyNumberFormat="1" applyFill="1" applyBorder="1" applyAlignment="1">
      <x:alignment horizontal="right" vertical="center"/>
    </x:xf>
    <x:xf numFmtId="2" fontId="0" fillId="5" borderId="4" applyNumberFormat="1" applyFill="1" applyBorder="1" applyAlignment="1">
      <x:alignment horizontal="right" vertical="center"/>
    </x:xf>
    <x:xf numFmtId="0" fontId="0" fillId="7" borderId="4" applyFill="1" applyBorder="1" applyAlignment="1">
      <x:alignment horizontal="center" vertical="center" wrapText="1"/>
    </x:xf>
    <x:xf numFmtId="0" fontId="0" fillId="8" borderId="4" applyFill="1" applyBorder="1" applyAlignment="1">
      <x:alignment horizontal="center" vertical="center" wrapText="1"/>
    </x:xf>
  </x:cellStyleXfs>
  <x:cellXfs count="34">
    <x:xf numFmtId="0" fontId="0" xfId="0"/>
    <x:xf numFmtId="0" fontId="2" fillId="3" borderId="2" xfId="3" applyFont="1" applyFill="1" applyBorder="1" applyAlignment="1">
      <x:alignment horizontal="center" vertical="center"/>
    </x:xf>
    <x:xf numFmtId="0" fontId="0" xfId="0" applyNumberFormat="1" applyFont="1" applyFill="0" applyBorder="0"/>
    <x:xf numFmtId="0" fontId="2" fillId="3" borderId="5" xfId="0" applyNumberFormat="1" applyFont="1" applyFill="1" applyBorder="1" applyAlignment="1">
      <x:alignment horizontal="center" vertical="center"/>
    </x:xf>
    <x:xf numFmtId="0" fontId="0" fillId="9" xfId="0" applyNumberFormat="1" applyFont="1" applyFill="1" applyBorder="0"/>
    <x:xf numFmtId="0" fontId="3" fillId="9" xfId="0" applyNumberFormat="1" applyFont="1" applyFill="1" applyBorder="0"/>
    <x:xf numFmtId="0" fontId="3" fillId="9" xfId="0" applyNumberFormat="1" applyFont="1" applyFill="1" applyBorder="0" applyAlignment="1">
      <x:alignment wrapText="1"/>
    </x:xf>
    <x:xf numFmtId="0" fontId="3" fillId="9" xfId="0" applyNumberFormat="1" applyFont="1" applyFill="1" applyBorder="0" applyAlignment="1">
      <x:alignment horizontal="center" wrapText="1"/>
    </x:xf>
    <x:xf numFmtId="0" fontId="3" fillId="9" xfId="0" applyNumberFormat="1" applyFont="1" applyFill="1" applyBorder="0" applyAlignment="1">
      <x:alignment horizontal="center" vertical="center" wrapText="1"/>
    </x:xf>
    <x:xf numFmtId="0" fontId="0" fillId="10" xfId="0" applyNumberFormat="1" applyFont="1" applyFill="1" applyBorder="0"/>
    <x:xf numFmtId="0" fontId="4" fillId="10" xfId="0" applyNumberFormat="1" applyFont="1" applyFill="1" applyBorder="0"/>
    <x:xf numFmtId="0" fontId="4" fillId="10" xfId="0" applyNumberFormat="1" applyFont="1" applyFill="1" applyBorder="0" applyAlignment="1">
      <x:alignment horizontal="center"/>
    </x:xf>
    <x:xf numFmtId="0" fontId="4" fillId="10" xfId="0" applyNumberFormat="1" applyFont="1" applyFill="1" applyBorder="0" applyAlignment="1">
      <x:alignment horizontal="center" vertical="center"/>
    </x:xf>
    <x:xf numFmtId="0" fontId="0" fillId="11" xfId="0" applyNumberFormat="1" applyFont="1" applyFill="1" applyBorder="0"/>
    <x:xf numFmtId="0" fontId="5" fillId="11" xfId="0" applyNumberFormat="1" applyFont="1" applyFill="1" applyBorder="0"/>
    <x:xf numFmtId="0" fontId="5" fillId="11" xfId="0" applyNumberFormat="1" applyFont="1" applyFill="1" applyBorder="0" applyAlignment="1">
      <x:alignment wrapText="1"/>
    </x:xf>
    <x:xf numFmtId="0" fontId="3" fillId="9" xfId="0" applyNumberFormat="1" applyFont="1" applyFill="1" applyBorder="0" applyAlignment="1">
      <x:alignment horizontal="center"/>
    </x:xf>
    <x:xf numFmtId="0" fontId="0" fillId="12" xfId="0" applyNumberFormat="1" applyFont="1" applyFill="1" applyBorder="0"/>
    <x:xf numFmtId="0" fontId="0" fillId="12" xfId="0" applyNumberFormat="1" applyFont="1" applyFill="1" applyBorder="0" applyAlignment="1">
      <x:alignment wrapText="1"/>
    </x:xf>
    <x:xf numFmtId="0" fontId="6" fillId="12" xfId="0" applyNumberFormat="1" applyFont="1" applyFill="1" applyBorder="0" applyAlignment="1">
      <x:alignment wrapText="1"/>
    </x:xf>
    <x:xf numFmtId="0" fontId="6" fillId="12" xfId="0" applyNumberFormat="1" applyFont="1" applyFill="1" applyBorder="0" applyAlignment="1">
      <x:alignment horizontal="center" wrapText="1"/>
    </x:xf>
    <x:xf numFmtId="0" fontId="0" fillId="13" xfId="0" applyNumberFormat="1" applyFont="1" applyFill="1" applyBorder="0"/>
    <x:xf numFmtId="0" fontId="3" fillId="13" xfId="0" applyNumberFormat="1" applyFont="1" applyFill="1" applyBorder="0"/>
    <x:xf numFmtId="0" fontId="3" fillId="13" xfId="0" applyNumberFormat="1" applyFont="1" applyFill="1" applyBorder="0" applyAlignment="1">
      <x:alignment horizontal="center"/>
    </x:xf>
    <x:xf numFmtId="0" fontId="0" fillId="14" xfId="0" applyNumberFormat="1" applyFont="1" applyFill="1" applyBorder="0"/>
    <x:xf numFmtId="0" fontId="0" fillId="14" xfId="0" applyNumberFormat="1" applyFont="1" applyFill="1" applyBorder="0" applyAlignment="1">
      <x:alignment wrapText="1"/>
    </x:xf>
    <x:xf numFmtId="0" fontId="0" fillId="15" xfId="0" applyNumberFormat="1" applyFont="1" applyFill="1" applyBorder="0"/>
    <x:xf numFmtId="0" fontId="3" fillId="15" xfId="0" applyNumberFormat="1" applyFont="1" applyFill="1" applyBorder="0"/>
    <x:xf numFmtId="0" fontId="3" fillId="15" xfId="0" applyNumberFormat="1" applyFont="1" applyFill="1" applyBorder="0" applyAlignment="1">
      <x:alignment horizontal="center"/>
    </x:xf>
    <x:xf numFmtId="0" fontId="0" xfId="0" applyNumberFormat="1" applyFont="1" applyFill="0" applyBorder="0" applyAlignment="1">
      <x:alignment wrapText="1"/>
    </x:xf>
    <x:xf numFmtId="0" fontId="7" fillId="10" xfId="0" applyNumberFormat="1" applyFont="1" applyFill="1" applyBorder="0"/>
    <x:xf numFmtId="0" fontId="7" fillId="10" xfId="0" applyNumberFormat="1" applyFont="1" applyFill="1" applyBorder="0" applyAlignment="1">
      <x:alignment horizontal="center"/>
    </x:xf>
    <x:xf numFmtId="0" fontId="1" fillId="11" xfId="0" applyNumberFormat="1" applyFont="1" applyFill="1" applyBorder="0"/>
    <x:xf numFmtId="0" fontId="1" fillId="11" xfId="0" applyNumberFormat="1" applyFont="1" applyFill="1" applyBorder="0" applyAlignment="1">
      <x:alignment wrapText="1"/>
    </x:xf>
  </x:cellXfs>
  <x:cellStyles count="17">
    <x:cellStyle name="Normal" xfId="0"/>
    <x:cellStyle name="Heading" xfId="1"/>
    <x:cellStyle name="WorksheetHeader" xfId="2"/>
    <x:cellStyle name="CellHeading" xfId="3"/>
    <x:cellStyle name="CellHeadingLight" xfId="4"/>
    <x:cellStyle name="CellTextNoTopBorder" xfId="5"/>
    <x:cellStyle name="CellTextNoTopBorderAlert" xfId="6"/>
    <x:cellStyle name="CellIntegerNoTopBorder" xfId="7"/>
    <x:cellStyle name="CellTotalInteger" xfId="8"/>
    <x:cellStyle name="CellTotalNumberZAR" xfId="9"/>
    <x:cellStyle name="CellNumberZARNoTopBorder" xfId="10"/>
    <x:cellStyle name="CellNumberPercentNoTopBorder" xfId="11"/>
    <x:cellStyle name="CellText" xfId="12"/>
    <x:cellStyle name="CellNumberZAR" xfId="13"/>
    <x:cellStyle name="CellNumberPercent" xfId="14"/>
    <x:cellStyle name="Agreed" xfId="15"/>
    <x:cellStyle name="Proposed" xfId="16"/>
  </x:cellStyles>
  <x:dxfs count="5">
    <x:dxf>
      <x:font>
        <x:b/>
        <x:color rgb="991B1B"/>
      </x:font>
      <x:fill>
        <x:patternFill>
          <x:bgColor rgb="FECACA"/>
        </x:patternFill>
      </x:fill>
    </x:dxf>
    <x:dxf>
      <x:font>
        <x:b/>
        <x:color rgb="9A3412"/>
      </x:font>
      <x:fill>
        <x:patternFill>
          <x:bgColor rgb="FED7AA"/>
        </x:patternFill>
      </x:fill>
    </x:dxf>
    <x:dxf>
      <x:font>
        <x:b/>
        <x:color rgb="92400E"/>
      </x:font>
      <x:fill>
        <x:patternFill>
          <x:bgColor rgb="FEF3C7"/>
        </x:patternFill>
      </x:fill>
    </x:dxf>
    <x:dxf>
      <x:font>
        <x:b/>
        <x:color rgb="166534"/>
      </x:font>
      <x:fill>
        <x:patternFill>
          <x:bgColor rgb="DCFCE7"/>
        </x:patternFill>
      </x:fill>
    </x:dxf>
    <x:dxf>
      <x:font>
        <x:b/>
        <x:color rgb="991B1B"/>
      </x:font>
      <x:fill>
        <x:patternFill>
          <x:bgColor rgb="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8ae7e3a4cf24d30" /><Relationship Type="http://schemas.openxmlformats.org/officeDocument/2006/relationships/theme" Target="/xl/theme/theme1.xml" Id="Rae5d5c82c900428f" /><Relationship Type="http://schemas.openxmlformats.org/officeDocument/2006/relationships/sharedStrings" Target="/xl/sharedStrings.xml" Id="R5eb8b809d3f54183" /><Relationship Type="http://schemas.openxmlformats.org/officeDocument/2006/relationships/worksheet" Target="/xl/worksheets/sheet1.xml" Id="R05d4386aaae64c15" /><Relationship Type="http://schemas.openxmlformats.org/officeDocument/2006/relationships/worksheet" Target="/xl/worksheets/sheet2.xml" Id="Rc800aa1705294699" /><Relationship Type="http://schemas.openxmlformats.org/officeDocument/2006/relationships/worksheet" Target="/xl/worksheets/sheet3.xml" Id="R5497780bad974da8" /><Relationship Type="http://schemas.openxmlformats.org/officeDocument/2006/relationships/worksheet" Target="/xl/worksheets/sheet4.xml" Id="R31d99fc62b5848d1" /></Relationships>
</file>

<file path=xl/drawings/_rels/drawing1.xml.rels>&#65279;<?xml version="1.0" encoding="utf-8"?><Relationships xmlns="http://schemas.openxmlformats.org/package/2006/relationships"><Relationship Type="http://schemas.openxmlformats.org/officeDocument/2006/relationships/chart" Target="/xl/drawings/charts/chart1.xml" Id="Rb6c37bf386354fbb" /><Relationship Type="http://schemas.openxmlformats.org/officeDocument/2006/relationships/chart" Target="/xl/drawings/charts/chart2.xml" Id="R0f849c7e6200403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FF KPI Age Buckets</a:t>
            </a:r>
          </a:p>
        </c:rich>
      </c:tx>
      <c:overlay val="0"/>
    </c:title>
    <c:autoTitleDeleted val="0"/>
    <c:plotArea>
      <c:layout/>
      <c:barChart>
        <c:barDir val="col"/>
        <c:varyColors val="0"/>
        <c:ser>
          <c:idx val="0"/>
          <c:order val="0"/>
          <c:tx>
            <c:v>Count</c:v>
          </c:tx>
          <c:cat>
            <c:strRef>
              <c:f>'Dashboard'!$A$13:$A$17</c:f>
              <c:strCache>
                <c:ptCount val="0"/>
              </c:strCache>
            </c:strRef>
          </c:cat>
          <c:val>
            <c:numRef>
              <c:f>'Dashboard'!$B$13:$B$17</c:f>
              <c:numCache>
                <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Risk Level Split</a:t>
            </a:r>
          </a:p>
        </c:rich>
      </c:tx>
      <c:overlay val="0"/>
    </c:title>
    <c:autoTitleDeleted val="0"/>
    <c:plotArea>
      <c:layout/>
      <c:barChart>
        <c:barDir val="col"/>
        <c:varyColors val="0"/>
        <c:ser>
          <c:idx val="0"/>
          <c:order val="0"/>
          <c:tx>
            <c:v>Count</c:v>
          </c:tx>
          <c:cat>
            <c:strRef>
              <c:f>'Dashboard'!$D$13:$D$17</c:f>
              <c:strCache>
                <c:ptCount val="0"/>
              </c:strCache>
            </c:strRef>
          </c:cat>
          <c:val>
            <c:numRef>
              <c:f>'Dashboard'!$E$13:$E$17</c:f>
              <c:numCache>
                <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19</xdr:row>
      <xdr:rowOff>0</xdr:rowOff>
    </xdr:from>
    <xdr:to>
      <xdr:col>5</xdr:col>
      <xdr:colOff>0</xdr:colOff>
      <xdr:row>34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6c37bf386354fbb"/>
        </a:graphicData>
      </a:graphic>
    </xdr:graphicFrame>
    <xdr:clientData/>
  </xdr:twoCellAnchor>
  <xdr:twoCellAnchor>
    <xdr:from>
      <xdr:col>5</xdr:col>
      <xdr:colOff>0</xdr:colOff>
      <xdr:row>19</xdr:row>
      <xdr:rowOff>0</xdr:rowOff>
    </xdr:from>
    <xdr:to>
      <xdr:col>11</xdr:col>
      <xdr:colOff>0</xdr:colOff>
      <xdr:row>34</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f849c7e6200403b"/>
        </a:graphicData>
      </a:graphic>
    </xdr:graphicFrame>
    <xdr:clientData/>
  </xdr:twoCellAnchor>
</xdr:wsDr>
</file>

<file path=xl/tables/table1.xml><?xml version="1.0" encoding="utf-8"?>
<x:table xmlns:x="http://schemas.openxmlformats.org/spreadsheetml/2006/main" id="1" name="DonovanTracker" displayName="DonovanTracker" ref="A1:P89" headerRowCount="1">
  <x:tableColumns count="16">
    <x:tableColumn id="1" name="JC Number"/>
    <x:tableColumn id="2" name="Customer"/>
    <x:tableColumn id="3" name="Job Type"/>
    <x:tableColumn id="4" name="Current Status"/>
    <x:tableColumn id="5" name="Days Overall"/>
    <x:tableColumn id="6" name="Days in Status"/>
    <x:tableColumn id="7" name="KPI Age Band"/>
    <x:tableColumn id="8" name="Risk Level"/>
    <x:tableColumn id="9" name="Next Required Action"/>
    <x:tableColumn id="10" name="Contact"/>
    <x:tableColumn id="11" name="Email"/>
    <x:tableColumn id="12" name="Mobile"/>
    <x:tableColumn id="13" name="Serial No"/>
    <x:tableColumn id="14" name="Description"/>
    <x:tableColumn id="15" name="Modified Date"/>
    <x:tableColumn id="16" name="Lindy / Donovan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755f447fa1f04875" /></Relationships>
</file>

<file path=xl/worksheets/_rels/sheet3.xml.rels>&#65279;<?xml version="1.0" encoding="utf-8"?><Relationships xmlns="http://schemas.openxmlformats.org/package/2006/relationships"><Relationship Type="http://schemas.openxmlformats.org/officeDocument/2006/relationships/table" Target="/xl/tables/table1.xml" Id="Re5eca8ca7d94476b" /></Relationships>
</file>

<file path=xl/worksheets/sheet1.xml><?xml version="1.0" encoding="utf-8"?>
<x:worksheet xmlns:x="http://schemas.openxmlformats.org/spreadsheetml/2006/main">
  <x:sheetFormatPr defaultRowHeight="15"/>
  <x:cols>
    <x:col min="1" max="1" width="35.58435821533203" customWidth="1"/>
    <x:col min="2" max="2" width="12.027353286743164" customWidth="1"/>
    <x:col min="3" max="3" width="55" customWidth="1"/>
    <x:col min="4" max="4" width="15.16486930847168" customWidth="1"/>
    <x:col min="5" max="5" width="16.128393173217773" customWidth="1"/>
    <x:col min="6" max="6" width="48.60782241821289" customWidth="1"/>
    <x:col min="7" max="7" width="32.753753662109375" customWidth="1"/>
    <x:col min="8" max="8" width="15.884156227111816" customWidth="1"/>
    <x:col min="9" max="9" width="45.50117874145508" customWidth="1"/>
    <x:col min="10" max="10" width="55" customWidth="1"/>
    <x:col min="11" max="11" width="17.517696380615234" customWidth="1"/>
    <x:col min="12" max="12" width="55" customWidth="1"/>
    <x:col min="13" max="13" width="22.434757232666016" customWidth="1"/>
    <x:col min="14" max="14" width="12.666418075561523" customWidth="1"/>
    <x:col min="15" max="15" width="14.32652759552002" customWidth="1"/>
    <x:col min="16" max="16" width="53.667659759521484" customWidth="1"/>
    <x:col min="17" max="17" width="22.434757232666016" customWidth="1"/>
    <x:col min="18" max="18" width="16.57613182067871" customWidth="1"/>
    <x:col min="19" max="19" width="14.585714340209961" customWidth="1"/>
    <x:col min="20" max="20" width="14.330390930175781" customWidth="1"/>
    <x:col min="21" max="21" width="19.644758224487305" customWidth="1"/>
    <x:col min="22" max="22" width="15.865181922912598" customWidth="1"/>
    <x:col min="23" max="23" width="15.609857559204102" customWidth="1"/>
    <x:col min="24" max="24" width="21.89212417602539" customWidth="1"/>
    <x:col min="25" max="25" width="55" customWidth="1"/>
    <x:col min="26" max="26" width="55" customWidth="1"/>
    <x:col min="27" max="27" width="55" customWidth="1"/>
    <x:col min="28" max="28" width="55" customWidth="1"/>
    <x:col min="29" max="29" width="55" customWidth="1"/>
    <x:col min="30" max="30" width="11.579331398010254" customWidth="1"/>
    <x:col min="31" max="31" width="12.538995742797852" customWidth="1"/>
    <x:col min="32" max="32" width="13.880514144897461" customWidth="1"/>
    <x:col min="33" max="33" width="55" customWidth="1"/>
    <x:col min="34" max="34" width="14.939335823059082" customWidth="1"/>
    <x:col min="35" max="35" width="14.939335823059082" customWidth="1"/>
    <x:col min="36" max="36" width="14.939335823059082" customWidth="1"/>
    <x:col min="37" max="37" width="15.258565902709961" customWidth="1"/>
    <x:col min="38" max="38" width="15.258565902709961" customWidth="1"/>
    <x:col min="39" max="39" width="22.434757232666016" customWidth="1"/>
    <x:col min="40" max="40" width="22.434757232666016" customWidth="1"/>
    <x:col min="41" max="41" width="16.883853912353516" customWidth="1"/>
    <x:col min="42" max="42" width="16.883853912353516" customWidth="1"/>
    <x:col min="43" max="43" width="9.140625" customWidth="1"/>
    <x:col min="44" max="44" width="55" customWidth="1"/>
    <x:col min="45" max="45" width="12.07818603515625" customWidth="1"/>
    <x:col min="46" max="46" width="9.140625" customWidth="1"/>
    <x:col min="47" max="47" width="22.434757232666016" customWidth="1"/>
    <x:col min="48" max="48" width="32.01688003540039" customWidth="1"/>
    <x:col min="49" max="49" width="32.01688003540039" customWidth="1"/>
    <x:col min="50" max="50" width="22.434757232666016" customWidth="1"/>
    <x:col min="51" max="51" width="14.130000114440918" hidden="0" customWidth="1"/>
    <x:col min="52" max="52" width="9.960000038146973" hidden="0" customWidth="1"/>
    <x:col min="53" max="53" width="16.420000076293945" hidden="0" customWidth="1"/>
    <x:col min="54" max="54" width="11.569999694824219" hidden="0" customWidth="1"/>
    <x:col min="55" max="55" width="41.45000076293945" hidden="0" customWidth="1"/>
    <x:col min="56" max="56" width="11.170000076293945" hidden="0" customWidth="1"/>
    <x:col min="57" max="57" width="59.619998931884766" hidden="0" customWidth="1"/>
    <x:col min="58" max="58" width="17.899999618530273" hidden="0" customWidth="1"/>
    <x:col min="59" max="59" width="18.56999969482422" hidden="0" customWidth="1"/>
  </x:cols>
  <x:sheetData>
    <x:row r="1">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c r="U1" s="1" t="s">
        <x:v>20</x:v>
      </x:c>
      <x:c r="V1" s="1" t="s">
        <x:v>21</x:v>
      </x:c>
      <x:c r="W1" s="1" t="s">
        <x:v>22</x:v>
      </x:c>
      <x:c r="X1" s="1" t="s">
        <x:v>23</x:v>
      </x:c>
      <x:c r="Y1" s="1" t="s">
        <x:v>24</x:v>
      </x:c>
      <x:c r="Z1" s="1" t="s">
        <x:v>25</x:v>
      </x:c>
      <x:c r="AA1" s="1" t="s">
        <x:v>26</x:v>
      </x:c>
      <x:c r="AB1" s="1" t="s">
        <x:v>27</x:v>
      </x:c>
      <x:c r="AC1" s="1" t="s">
        <x:v>28</x:v>
      </x:c>
      <x:c r="AD1" s="1" t="s">
        <x:v>29</x:v>
      </x:c>
      <x:c r="AE1" s="1" t="s">
        <x:v>30</x:v>
      </x:c>
      <x:c r="AF1" s="1" t="s">
        <x:v>31</x:v>
      </x:c>
      <x:c r="AG1" s="1" t="s">
        <x:v>32</x:v>
      </x:c>
      <x:c r="AH1" s="1" t="s">
        <x:v>33</x:v>
      </x:c>
      <x:c r="AI1" s="1" t="s">
        <x:v>34</x:v>
      </x:c>
      <x:c r="AJ1" s="1" t="s">
        <x:v>35</x:v>
      </x:c>
      <x:c r="AK1" s="1" t="s">
        <x:v>36</x:v>
      </x:c>
      <x:c r="AL1" s="1" t="s">
        <x:v>37</x:v>
      </x:c>
      <x:c r="AM1" s="1" t="s">
        <x:v>38</x:v>
      </x:c>
      <x:c r="AN1" s="1" t="s">
        <x:v>39</x:v>
      </x:c>
      <x:c r="AO1" s="1" t="s">
        <x:v>40</x:v>
      </x:c>
      <x:c r="AP1" s="1" t="s">
        <x:v>41</x:v>
      </x:c>
      <x:c r="AQ1" s="1" t="s">
        <x:v>42</x:v>
      </x:c>
      <x:c r="AR1" s="1" t="s">
        <x:v>43</x:v>
      </x:c>
      <x:c r="AS1" s="1" t="s">
        <x:v>44</x:v>
      </x:c>
      <x:c r="AT1" s="1" t="s">
        <x:v>45</x:v>
      </x:c>
      <x:c r="AU1" s="1" t="s">
        <x:v>46</x:v>
      </x:c>
      <x:c r="AV1" s="1" t="s">
        <x:v>47</x:v>
      </x:c>
      <x:c r="AW1" s="1" t="s">
        <x:v>48</x:v>
      </x:c>
      <x:c r="AX1" s="1" t="s">
        <x:v>49</x:v>
      </x:c>
      <x:c r="AY1" s="8" t="str">
        <x:v>Dashboard Scope</x:v>
      </x:c>
      <x:c r="AZ1" s="8" t="str">
        <x:v>FF KPI Focus</x:v>
      </x:c>
      <x:c r="BA1" s="8" t="str">
        <x:v>KPI Age Band</x:v>
      </x:c>
      <x:c r="BB1" s="8" t="str">
        <x:v>Risk Level</x:v>
      </x:c>
      <x:c r="BC1" s="8" t="str">
        <x:v>Next Required Action</x:v>
      </x:c>
      <x:c r="BD1" s="8" t="str">
        <x:v>Days to Day-6</x:v>
      </x:c>
      <x:c r="BE1" s="8" t="str">
        <x:v>Comment Prompt</x:v>
      </x:c>
      <x:c r="BF1" s="8" t="str">
        <x:v>Stage Stale Flag</x:v>
      </x:c>
      <x:c r="BG1" s="8" t="str">
        <x:v>Lindy / Donovan Notes</x:v>
      </x:c>
    </x:row>
    <x:row r="2">
      <x:c r="A2" t="s">
        <x:v>50</x:v>
      </x:c>
      <x:c r="B2" t="s">
        <x:v>51</x:v>
      </x:c>
      <x:c r="C2" t="s">
        <x:v>52</x:v>
      </x:c>
      <x:c r="D2" t="s">
        <x:v>53</x:v>
      </x:c>
      <x:c r="E2" t="s">
        <x:v>54</x:v>
      </x:c>
      <x:c r="F2" t="s">
        <x:v>55</x:v>
      </x:c>
      <x:c r="G2" t="s">
        <x:v>56</x:v>
      </x:c>
      <x:c r="H2" t="s">
        <x:v>54</x:v>
      </x:c>
      <x:c r="I2" t="s">
        <x:v>57</x:v>
      </x:c>
      <x:c r="J2" t="s">
        <x:v>58</x:v>
      </x:c>
      <x:c r="K2" t="s">
        <x:v>54</x:v>
      </x:c>
      <x:c r="L2" t="s">
        <x:v>59</x:v>
      </x:c>
      <x:c r="M2" t="s">
        <x:v>60</x:v>
      </x:c>
      <x:c r="N2">
        <x:v>199</x:v>
      </x:c>
      <x:c r="O2">
        <x:v>59</x:v>
      </x:c>
      <x:c r="P2" t="s">
        <x:v>61</x:v>
      </x:c>
      <x:c r="Q2" t="s">
        <x:v>62</x:v>
      </x:c>
      <x:c r="R2" t="s">
        <x:v>54</x:v>
      </x:c>
      <x:c r="S2" t="s">
        <x:v>54</x:v>
      </x:c>
      <x:c r="T2" t="s">
        <x:v>54</x:v>
      </x:c>
      <x:c r="U2" t="s">
        <x:v>63</x:v>
      </x:c>
      <x:c r="V2" t="s">
        <x:v>54</x:v>
      </x:c>
      <x:c r="W2" t="s">
        <x:v>54</x:v>
      </x:c>
      <x:c r="X2" t="s">
        <x:v>54</x:v>
      </x:c>
      <x:c r="Y2" t="s">
        <x:v>64</x:v>
      </x:c>
      <x:c r="Z2" t="s">
        <x:v>65</x:v>
      </x:c>
      <x:c r="AA2" t="s">
        <x:v>66</x:v>
      </x:c>
      <x:c r="AB2" t="s">
        <x:v>67</x:v>
      </x:c>
      <x:c r="AC2" t="s">
        <x:v>68</x:v>
      </x:c>
      <x:c r="AD2" t="s">
        <x:v>54</x:v>
      </x:c>
      <x:c r="AE2" t="s">
        <x:v>54</x:v>
      </x:c>
      <x:c r="AF2" t="s">
        <x:v>54</x:v>
      </x:c>
      <x:c r="AG2" t="s">
        <x:v>69</x:v>
      </x:c>
      <x:c r="AH2" t="s">
        <x:v>54</x:v>
      </x:c>
      <x:c r="AI2" t="s">
        <x:v>54</x:v>
      </x:c>
      <x:c r="AJ2" t="s">
        <x:v>54</x:v>
      </x:c>
      <x:c r="AK2" t="s">
        <x:v>54</x:v>
      </x:c>
      <x:c r="AL2" t="s">
        <x:v>54</x:v>
      </x:c>
      <x:c r="AM2" t="s">
        <x:v>70</x:v>
      </x:c>
      <x:c r="AN2" t="s">
        <x:v>71</x:v>
      </x:c>
      <x:c r="AO2" t="s">
        <x:v>54</x:v>
      </x:c>
      <x:c r="AP2" t="s">
        <x:v>54</x:v>
      </x:c>
      <x:c r="AQ2" t="b">
        <x:v>0</x:v>
      </x:c>
      <x:c r="AR2" t="s">
        <x:v>72</x:v>
      </x:c>
      <x:c r="AS2" t="s">
        <x:v>54</x:v>
      </x:c>
      <x:c r="AT2" t="s">
        <x:v>73</x:v>
      </x:c>
      <x:c r="AU2" t="s">
        <x:v>74</x:v>
      </x:c>
      <x:c r="AV2" t="s">
        <x:v>75</x:v>
      </x:c>
      <x:c r="AW2" t="s">
        <x:v>76</x:v>
      </x:c>
      <x:c r="AX2" t="s">
        <x:v>62</x:v>
      </x:c>
      <x:c r="AY2" t="str">
        <x:f>IF(AND(ISNUMBER(SEARCH("Donovan",AC2)),OR(AT2=TRUE,AT2="TRUE"),OR(AQ2=FALSE,AQ2="FALSE")),"YES","NO")</x:f>
        <x:v>YES</x:v>
      </x:c>
      <x:c r="AZ2" t="str">
        <x:f>IF(AND(AY2="YES",LEFT(I2,2)="FF"),"YES","NO")</x:f>
        <x:v>YES</x:v>
      </x:c>
      <x:c r="BA2" t="str">
        <x:f>IF(AZ2&lt;&gt;"YES","Not FF focus",IF(N2&lt;=2,"0-2 Remote Window",IF(N2&lt;=5,"3-5 Client Follow-up",IF(N2=6,"Day 6 Escalate","7+ Overdue"))))</x:f>
        <x:v>7+ Overdue</x:v>
      </x:c>
      <x:c r="BB2" t="str">
        <x:f>IF(AZ2&lt;&gt;"YES","Excluded",IF(N2&lt;=2,"On Track",IF(N2&lt;=5,"Warning",IF(N2=6,"Escalate Today","Overdue"))))</x:f>
        <x:v>Overdue</x:v>
      </x:c>
      <x:c r="BC2" t="str">
        <x:f>IF(AY2&lt;&gt;"YES","",IF(ISNUMBER(SEARCH("Quote Sent",P2)),"Follow up quote approval weekly + add JC comment",IF(ISNUMBER(SEARCH("Awaiting install",P2)),"Confirm install date/ETA + update JC",IF(ISNUMBER(SEARCH("Schedule",P2)),"Schedule/confirm tech action",IF(AZ2="YES",IF(N2&lt;=2,"Troubleshoot remotely + comment evidence",IF(N2&lt;=5,"Email/call client + record who/when/outcome","Escalate to Lindy + agree action plan")),"Check current status + add clear JC comment")))))</x:f>
        <x:v>Confirm install date/ETA + update JC</x:v>
      </x:c>
      <x:c r="BD2" t="n">
        <x:f>IF(AZ2="YES",6-N2,"")</x:f>
        <x:v>-193</x:v>
      </x:c>
      <x:c r="BE2" t="str">
        <x:f>IF(AY2="YES","Comment must show: date, contact person, method, outcome, next action","")</x:f>
        <x:v>Comment must show: date, contact person, method, outcome, next action</x:v>
      </x:c>
      <x:c r="BF2" t="str">
        <x:f>IF(AND(AY2="YES",O2&gt;=7),"Stuck in status 7+ days","")</x:f>
        <x:v>Stuck in status 7+ days</x:v>
      </x:c>
      <x:c r="BG2" t="str"/>
    </x:row>
    <x:row r="3">
      <x:c r="A3" t="s">
        <x:v>50</x:v>
      </x:c>
      <x:c r="B3" t="s">
        <x:v>77</x:v>
      </x:c>
      <x:c r="C3" t="s">
        <x:v>52</x:v>
      </x:c>
      <x:c r="D3" t="s">
        <x:v>53</x:v>
      </x:c>
      <x:c r="E3" t="s">
        <x:v>54</x:v>
      </x:c>
      <x:c r="F3" t="s">
        <x:v>55</x:v>
      </x:c>
      <x:c r="G3" t="s">
        <x:v>56</x:v>
      </x:c>
      <x:c r="H3" t="s">
        <x:v>54</x:v>
      </x:c>
      <x:c r="I3" t="s">
        <x:v>57</x:v>
      </x:c>
      <x:c r="J3" t="s">
        <x:v>78</x:v>
      </x:c>
      <x:c r="K3" t="s">
        <x:v>54</x:v>
      </x:c>
      <x:c r="L3" t="s">
        <x:v>59</x:v>
      </x:c>
      <x:c r="M3" t="s">
        <x:v>79</x:v>
      </x:c>
      <x:c r="N3">
        <x:v>199</x:v>
      </x:c>
      <x:c r="O3">
        <x:v>79</x:v>
      </x:c>
      <x:c r="P3" t="s">
        <x:v>61</x:v>
      </x:c>
      <x:c r="Q3" t="s">
        <x:v>80</x:v>
      </x:c>
      <x:c r="R3" t="s">
        <x:v>54</x:v>
      </x:c>
      <x:c r="S3" t="s">
        <x:v>54</x:v>
      </x:c>
      <x:c r="T3" t="s">
        <x:v>54</x:v>
      </x:c>
      <x:c r="U3" t="s">
        <x:v>81</x:v>
      </x:c>
      <x:c r="V3" t="s">
        <x:v>54</x:v>
      </x:c>
      <x:c r="W3" t="s">
        <x:v>54</x:v>
      </x:c>
      <x:c r="X3" t="s">
        <x:v>54</x:v>
      </x:c>
      <x:c r="Y3" t="s">
        <x:v>82</x:v>
      </x:c>
      <x:c r="Z3" t="s">
        <x:v>83</x:v>
      </x:c>
      <x:c r="AA3" t="s">
        <x:v>84</x:v>
      </x:c>
      <x:c r="AB3" t="s">
        <x:v>85</x:v>
      </x:c>
      <x:c r="AC3" t="s">
        <x:v>68</x:v>
      </x:c>
      <x:c r="AD3" t="s">
        <x:v>54</x:v>
      </x:c>
      <x:c r="AE3" t="s">
        <x:v>54</x:v>
      </x:c>
      <x:c r="AF3" t="s">
        <x:v>54</x:v>
      </x:c>
      <x:c r="AG3" t="s">
        <x:v>86</x:v>
      </x:c>
      <x:c r="AH3" t="s">
        <x:v>54</x:v>
      </x:c>
      <x:c r="AI3" t="s">
        <x:v>54</x:v>
      </x:c>
      <x:c r="AJ3" t="s">
        <x:v>54</x:v>
      </x:c>
      <x:c r="AK3" t="s">
        <x:v>54</x:v>
      </x:c>
      <x:c r="AL3" t="s">
        <x:v>54</x:v>
      </x:c>
      <x:c r="AM3" t="s">
        <x:v>71</x:v>
      </x:c>
      <x:c r="AN3" t="s">
        <x:v>71</x:v>
      </x:c>
      <x:c r="AO3" t="s">
        <x:v>54</x:v>
      </x:c>
      <x:c r="AP3" t="s">
        <x:v>54</x:v>
      </x:c>
      <x:c r="AQ3" t="b">
        <x:v>0</x:v>
      </x:c>
      <x:c r="AR3" t="s">
        <x:v>87</x:v>
      </x:c>
      <x:c r="AS3" t="s">
        <x:v>54</x:v>
      </x:c>
      <x:c r="AT3" t="s">
        <x:v>73</x:v>
      </x:c>
      <x:c r="AU3" t="s">
        <x:v>79</x:v>
      </x:c>
      <x:c r="AV3" t="s">
        <x:v>75</x:v>
      </x:c>
      <x:c r="AW3" t="s">
        <x:v>88</x:v>
      </x:c>
      <x:c r="AX3" t="s">
        <x:v>89</x:v>
      </x:c>
      <x:c r="AY3" t="str">
        <x:f>IF(AND(ISNUMBER(SEARCH("Donovan",AC3)),OR(AT3=TRUE,AT3="TRUE"),OR(AQ3=FALSE,AQ3="FALSE")),"YES","NO")</x:f>
        <x:v>YES</x:v>
      </x:c>
      <x:c r="AZ3" t="str">
        <x:f>IF(AND(AY3="YES",LEFT(I3,2)="FF"),"YES","NO")</x:f>
        <x:v>YES</x:v>
      </x:c>
      <x:c r="BA3" t="str">
        <x:f>IF(AZ3&lt;&gt;"YES","Not FF focus",IF(N3&lt;=2,"0-2 Remote Window",IF(N3&lt;=5,"3-5 Client Follow-up",IF(N3=6,"Day 6 Escalate","7+ Overdue"))))</x:f>
        <x:v>7+ Overdue</x:v>
      </x:c>
      <x:c r="BB3" t="str">
        <x:f>IF(AZ3&lt;&gt;"YES","Excluded",IF(N3&lt;=2,"On Track",IF(N3&lt;=5,"Warning",IF(N3=6,"Escalate Today","Overdue"))))</x:f>
        <x:v>Overdue</x:v>
      </x:c>
      <x:c r="BC3" t="str">
        <x:f>IF(AY3&lt;&gt;"YES","",IF(ISNUMBER(SEARCH("Quote Sent",P3)),"Follow up quote approval weekly + add JC comment",IF(ISNUMBER(SEARCH("Awaiting install",P3)),"Confirm install date/ETA + update JC",IF(ISNUMBER(SEARCH("Schedule",P3)),"Schedule/confirm tech action",IF(AZ3="YES",IF(N3&lt;=2,"Troubleshoot remotely + comment evidence",IF(N3&lt;=5,"Email/call client + record who/when/outcome","Escalate to Lindy + agree action plan")),"Check current status + add clear JC comment")))))</x:f>
        <x:v>Confirm install date/ETA + update JC</x:v>
      </x:c>
      <x:c r="BD3" t="n">
        <x:f>IF(AZ3="YES",6-N3,"")</x:f>
        <x:v>-193</x:v>
      </x:c>
      <x:c r="BE3" t="str">
        <x:f>IF(AY3="YES","Comment must show: date, contact person, method, outcome, next action","")</x:f>
        <x:v>Comment must show: date, contact person, method, outcome, next action</x:v>
      </x:c>
      <x:c r="BF3" t="str">
        <x:f>IF(AND(AY3="YES",O3&gt;=7),"Stuck in status 7+ days","")</x:f>
        <x:v>Stuck in status 7+ days</x:v>
      </x:c>
    </x:row>
    <x:row r="4">
      <x:c r="A4" t="s">
        <x:v>50</x:v>
      </x:c>
      <x:c r="B4" t="s">
        <x:v>90</x:v>
      </x:c>
      <x:c r="C4" t="s">
        <x:v>91</x:v>
      </x:c>
      <x:c r="D4" t="s">
        <x:v>92</x:v>
      </x:c>
      <x:c r="E4" t="s">
        <x:v>54</x:v>
      </x:c>
      <x:c r="F4" t="s">
        <x:v>93</x:v>
      </x:c>
      <x:c r="G4" t="s">
        <x:v>94</x:v>
      </x:c>
      <x:c r="H4" t="s">
        <x:v>54</x:v>
      </x:c>
      <x:c r="I4" t="s">
        <x:v>95</x:v>
      </x:c>
      <x:c r="J4" t="s">
        <x:v>96</x:v>
      </x:c>
      <x:c r="K4" t="s">
        <x:v>54</x:v>
      </x:c>
      <x:c r="L4" t="s">
        <x:v>97</x:v>
      </x:c>
      <x:c r="M4" t="s">
        <x:v>98</x:v>
      </x:c>
      <x:c r="N4">
        <x:v>135</x:v>
      </x:c>
      <x:c r="O4">
        <x:v>2</x:v>
      </x:c>
      <x:c r="P4" t="s">
        <x:v>99</x:v>
      </x:c>
      <x:c r="Q4" t="s">
        <x:v>100</x:v>
      </x:c>
      <x:c r="R4" t="s">
        <x:v>54</x:v>
      </x:c>
      <x:c r="S4" t="s">
        <x:v>54</x:v>
      </x:c>
      <x:c r="T4" t="s">
        <x:v>54</x:v>
      </x:c>
      <x:c r="U4" t="s">
        <x:v>54</x:v>
      </x:c>
      <x:c r="V4" t="s">
        <x:v>54</x:v>
      </x:c>
      <x:c r="W4" t="s">
        <x:v>54</x:v>
      </x:c>
      <x:c r="X4" t="s">
        <x:v>54</x:v>
      </x:c>
      <x:c r="Y4" t="s">
        <x:v>101</x:v>
      </x:c>
      <x:c r="Z4" t="s">
        <x:v>102</x:v>
      </x:c>
      <x:c r="AA4" t="s">
        <x:v>103</x:v>
      </x:c>
      <x:c r="AB4" t="s">
        <x:v>54</x:v>
      </x:c>
      <x:c r="AC4" t="s">
        <x:v>104</x:v>
      </x:c>
      <x:c r="AD4" t="s">
        <x:v>54</x:v>
      </x:c>
      <x:c r="AE4" t="s">
        <x:v>54</x:v>
      </x:c>
      <x:c r="AF4" t="s">
        <x:v>54</x:v>
      </x:c>
      <x:c r="AG4" t="s">
        <x:v>105</x:v>
      </x:c>
      <x:c r="AH4" t="s">
        <x:v>54</x:v>
      </x:c>
      <x:c r="AI4" t="s">
        <x:v>54</x:v>
      </x:c>
      <x:c r="AJ4" t="s">
        <x:v>54</x:v>
      </x:c>
      <x:c r="AK4" t="s">
        <x:v>54</x:v>
      </x:c>
      <x:c r="AL4" t="s">
        <x:v>54</x:v>
      </x:c>
      <x:c r="AM4" t="s">
        <x:v>106</x:v>
      </x:c>
      <x:c r="AN4" t="s">
        <x:v>107</x:v>
      </x:c>
      <x:c r="AO4" t="s">
        <x:v>54</x:v>
      </x:c>
      <x:c r="AP4" t="s">
        <x:v>54</x:v>
      </x:c>
      <x:c r="AQ4" t="b">
        <x:v>0</x:v>
      </x:c>
      <x:c r="AR4" t="s">
        <x:v>108</x:v>
      </x:c>
      <x:c r="AS4" t="s">
        <x:v>54</x:v>
      </x:c>
      <x:c r="AT4" t="s">
        <x:v>73</x:v>
      </x:c>
      <x:c r="AU4" t="s">
        <x:v>98</x:v>
      </x:c>
      <x:c r="AV4" t="s">
        <x:v>75</x:v>
      </x:c>
      <x:c r="AW4" t="s">
        <x:v>88</x:v>
      </x:c>
      <x:c r="AX4" t="s">
        <x:v>100</x:v>
      </x:c>
      <x:c r="AY4" t="str">
        <x:f>IF(AND(ISNUMBER(SEARCH("Donovan",AC4)),OR(AT4=TRUE,AT4="TRUE"),OR(AQ4=FALSE,AQ4="FALSE")),"YES","NO")</x:f>
        <x:v>YES</x:v>
      </x:c>
      <x:c r="AZ4" t="str">
        <x:f>IF(AND(AY4="YES",LEFT(I4,2)="FF"),"YES","NO")</x:f>
        <x:v>YES</x:v>
      </x:c>
      <x:c r="BA4" t="str">
        <x:f>IF(AZ4&lt;&gt;"YES","Not FF focus",IF(N4&lt;=2,"0-2 Remote Window",IF(N4&lt;=5,"3-5 Client Follow-up",IF(N4=6,"Day 6 Escalate","7+ Overdue"))))</x:f>
        <x:v>7+ Overdue</x:v>
      </x:c>
      <x:c r="BB4" t="str">
        <x:f>IF(AZ4&lt;&gt;"YES","Excluded",IF(N4&lt;=2,"On Track",IF(N4&lt;=5,"Warning",IF(N4=6,"Escalate Today","Overdue"))))</x:f>
        <x:v>Overdue</x:v>
      </x:c>
      <x:c r="BC4" t="str">
        <x:f>IF(AY4&lt;&gt;"YES","",IF(ISNUMBER(SEARCH("Quote Sent",P4)),"Follow up quote approval weekly + add JC comment",IF(ISNUMBER(SEARCH("Awaiting install",P4)),"Confirm install date/ETA + update JC",IF(ISNUMBER(SEARCH("Schedule",P4)),"Schedule/confirm tech action",IF(AZ4="YES",IF(N4&lt;=2,"Troubleshoot remotely + comment evidence",IF(N4&lt;=5,"Email/call client + record who/when/outcome","Escalate to Lindy + agree action plan")),"Check current status + add clear JC comment")))))</x:f>
        <x:v>Schedule/confirm tech action</x:v>
      </x:c>
      <x:c r="BD4" t="n">
        <x:f>IF(AZ4="YES",6-N4,"")</x:f>
        <x:v>-129</x:v>
      </x:c>
      <x:c r="BE4" t="str">
        <x:f>IF(AY4="YES","Comment must show: date, contact person, method, outcome, next action","")</x:f>
        <x:v>Comment must show: date, contact person, method, outcome, next action</x:v>
      </x:c>
      <x:c r="BF4" t="str">
        <x:f>IF(AND(AY4="YES",O4&gt;=7),"Stuck in status 7+ days","")</x:f>
      </x:c>
    </x:row>
    <x:row r="5">
      <x:c r="A5" t="s">
        <x:v>109</x:v>
      </x:c>
      <x:c r="B5" t="s">
        <x:v>110</x:v>
      </x:c>
      <x:c r="C5" t="s">
        <x:v>111</x:v>
      </x:c>
      <x:c r="D5" t="s">
        <x:v>112</x:v>
      </x:c>
      <x:c r="E5" t="s">
        <x:v>54</x:v>
      </x:c>
      <x:c r="F5" t="s">
        <x:v>113</x:v>
      </x:c>
      <x:c r="G5" t="s">
        <x:v>114</x:v>
      </x:c>
      <x:c r="H5" t="s">
        <x:v>54</x:v>
      </x:c>
      <x:c r="I5" t="s">
        <x:v>115</x:v>
      </x:c>
      <x:c r="J5" t="s">
        <x:v>116</x:v>
      </x:c>
      <x:c r="K5" t="s">
        <x:v>54</x:v>
      </x:c>
      <x:c r="L5" t="s">
        <x:v>117</x:v>
      </x:c>
      <x:c r="M5" t="s">
        <x:v>118</x:v>
      </x:c>
      <x:c r="N5">
        <x:v>127</x:v>
      </x:c>
      <x:c r="O5">
        <x:v>37</x:v>
      </x:c>
      <x:c r="P5" t="s">
        <x:v>119</x:v>
      </x:c>
      <x:c r="Q5" t="s">
        <x:v>120</x:v>
      </x:c>
      <x:c r="R5" t="s">
        <x:v>54</x:v>
      </x:c>
      <x:c r="S5" t="s">
        <x:v>54</x:v>
      </x:c>
      <x:c r="T5" t="s">
        <x:v>54</x:v>
      </x:c>
      <x:c r="U5" t="s">
        <x:v>121</x:v>
      </x:c>
      <x:c r="V5" t="s">
        <x:v>54</x:v>
      </x:c>
      <x:c r="W5" t="s">
        <x:v>54</x:v>
      </x:c>
      <x:c r="X5" t="s">
        <x:v>54</x:v>
      </x:c>
      <x:c r="Y5" t="s">
        <x:v>54</x:v>
      </x:c>
      <x:c r="Z5" t="s">
        <x:v>54</x:v>
      </x:c>
      <x:c r="AA5" t="s">
        <x:v>54</x:v>
      </x:c>
      <x:c r="AB5" t="s">
        <x:v>54</x:v>
      </x:c>
      <x:c r="AC5" t="s">
        <x:v>122</x:v>
      </x:c>
      <x:c r="AD5" t="s">
        <x:v>54</x:v>
      </x:c>
      <x:c r="AE5" t="s">
        <x:v>54</x:v>
      </x:c>
      <x:c r="AF5" t="s">
        <x:v>54</x:v>
      </x:c>
      <x:c r="AG5" t="s">
        <x:v>54</x:v>
      </x:c>
      <x:c r="AH5" t="s">
        <x:v>54</x:v>
      </x:c>
      <x:c r="AI5" t="s">
        <x:v>54</x:v>
      </x:c>
      <x:c r="AJ5" t="s">
        <x:v>54</x:v>
      </x:c>
      <x:c r="AK5" t="s">
        <x:v>54</x:v>
      </x:c>
      <x:c r="AL5" t="s">
        <x:v>54</x:v>
      </x:c>
      <x:c r="AM5" t="s">
        <x:v>54</x:v>
      </x:c>
      <x:c r="AN5" t="s">
        <x:v>54</x:v>
      </x:c>
      <x:c r="AO5" t="s">
        <x:v>54</x:v>
      </x:c>
      <x:c r="AP5" t="s">
        <x:v>54</x:v>
      </x:c>
      <x:c r="AQ5" t="b">
        <x:v>0</x:v>
      </x:c>
      <x:c r="AR5" t="s">
        <x:v>123</x:v>
      </x:c>
      <x:c r="AS5" t="s">
        <x:v>54</x:v>
      </x:c>
      <x:c r="AT5" t="s">
        <x:v>73</x:v>
      </x:c>
      <x:c r="AU5" t="s">
        <x:v>118</x:v>
      </x:c>
      <x:c r="AV5" t="s">
        <x:v>88</x:v>
      </x:c>
      <x:c r="AW5" t="s">
        <x:v>88</x:v>
      </x:c>
      <x:c r="AX5" t="s">
        <x:v>120</x:v>
      </x:c>
      <x:c r="AY5" t="str">
        <x:f>IF(AND(ISNUMBER(SEARCH("Donovan",AC5)),OR(AT5=TRUE,AT5="TRUE"),OR(AQ5=FALSE,AQ5="FALSE")),"YES","NO")</x:f>
        <x:v>YES</x:v>
      </x:c>
      <x:c r="AZ5" t="str">
        <x:f>IF(AND(AY5="YES",LEFT(I5,2)="FF"),"YES","NO")</x:f>
        <x:v>NO</x:v>
      </x:c>
      <x:c r="BA5" t="str">
        <x:f>IF(AZ5&lt;&gt;"YES","Not FF focus",IF(N5&lt;=2,"0-2 Remote Window",IF(N5&lt;=5,"3-5 Client Follow-up",IF(N5=6,"Day 6 Escalate","7+ Overdue"))))</x:f>
        <x:v>Not FF focus</x:v>
      </x:c>
      <x:c r="BB5" t="str">
        <x:f>IF(AZ5&lt;&gt;"YES","Excluded",IF(N5&lt;=2,"On Track",IF(N5&lt;=5,"Warning",IF(N5=6,"Escalate Today","Overdue"))))</x:f>
        <x:v>Excluded</x:v>
      </x:c>
      <x:c r="BC5" t="str">
        <x:f>IF(AY5&lt;&gt;"YES","",IF(ISNUMBER(SEARCH("Quote Sent",P5)),"Follow up quote approval weekly + add JC comment",IF(ISNUMBER(SEARCH("Awaiting install",P5)),"Confirm install date/ETA + update JC",IF(ISNUMBER(SEARCH("Schedule",P5)),"Schedule/confirm tech action",IF(AZ5="YES",IF(N5&lt;=2,"Troubleshoot remotely + comment evidence",IF(N5&lt;=5,"Email/call client + record who/when/outcome","Escalate to Lindy + agree action plan")),"Check current status + add clear JC comment")))))</x:f>
        <x:v>Schedule/confirm tech action</x:v>
      </x:c>
      <x:c r="BD5" t="str">
        <x:f>IF(AZ5="YES",6-N5,"")</x:f>
      </x:c>
      <x:c r="BE5" t="str">
        <x:f>IF(AY5="YES","Comment must show: date, contact person, method, outcome, next action","")</x:f>
        <x:v>Comment must show: date, contact person, method, outcome, next action</x:v>
      </x:c>
      <x:c r="BF5" t="str">
        <x:f>IF(AND(AY5="YES",O5&gt;=7),"Stuck in status 7+ days","")</x:f>
        <x:v>Stuck in status 7+ days</x:v>
      </x:c>
    </x:row>
    <x:row r="6">
      <x:c r="A6" t="s">
        <x:v>109</x:v>
      </x:c>
      <x:c r="B6" t="s">
        <x:v>124</x:v>
      </x:c>
      <x:c r="C6" t="s">
        <x:v>52</x:v>
      </x:c>
      <x:c r="D6" t="s">
        <x:v>53</x:v>
      </x:c>
      <x:c r="E6" t="s">
        <x:v>54</x:v>
      </x:c>
      <x:c r="F6" t="s">
        <x:v>55</x:v>
      </x:c>
      <x:c r="G6" t="s">
        <x:v>56</x:v>
      </x:c>
      <x:c r="H6" t="s">
        <x:v>54</x:v>
      </x:c>
      <x:c r="I6" t="s">
        <x:v>57</x:v>
      </x:c>
      <x:c r="J6" t="s">
        <x:v>125</x:v>
      </x:c>
      <x:c r="K6" t="s">
        <x:v>54</x:v>
      </x:c>
      <x:c r="L6" t="s">
        <x:v>126</x:v>
      </x:c>
      <x:c r="M6" t="s">
        <x:v>127</x:v>
      </x:c>
      <x:c r="N6">
        <x:v>126</x:v>
      </x:c>
      <x:c r="O6">
        <x:v>122</x:v>
      </x:c>
      <x:c r="P6" t="s">
        <x:v>61</x:v>
      </x:c>
      <x:c r="Q6" t="s">
        <x:v>128</x:v>
      </x:c>
      <x:c r="R6" t="s">
        <x:v>54</x:v>
      </x:c>
      <x:c r="S6" t="s">
        <x:v>54</x:v>
      </x:c>
      <x:c r="T6" t="s">
        <x:v>54</x:v>
      </x:c>
      <x:c r="U6" t="s">
        <x:v>54</x:v>
      </x:c>
      <x:c r="V6" t="s">
        <x:v>54</x:v>
      </x:c>
      <x:c r="W6" t="s">
        <x:v>54</x:v>
      </x:c>
      <x:c r="X6" t="s">
        <x:v>54</x:v>
      </x:c>
      <x:c r="Y6" t="s">
        <x:v>129</x:v>
      </x:c>
      <x:c r="Z6" t="s">
        <x:v>130</x:v>
      </x:c>
      <x:c r="AA6" t="s">
        <x:v>131</x:v>
      </x:c>
      <x:c r="AB6" t="s">
        <x:v>54</x:v>
      </x:c>
      <x:c r="AC6" t="s">
        <x:v>68</x:v>
      </x:c>
      <x:c r="AD6" t="s">
        <x:v>54</x:v>
      </x:c>
      <x:c r="AE6" t="s">
        <x:v>54</x:v>
      </x:c>
      <x:c r="AF6" t="s">
        <x:v>54</x:v>
      </x:c>
      <x:c r="AG6" t="s">
        <x:v>132</x:v>
      </x:c>
      <x:c r="AH6" t="s">
        <x:v>54</x:v>
      </x:c>
      <x:c r="AI6" t="s">
        <x:v>54</x:v>
      </x:c>
      <x:c r="AJ6" t="s">
        <x:v>54</x:v>
      </x:c>
      <x:c r="AK6" t="s">
        <x:v>54</x:v>
      </x:c>
      <x:c r="AL6" t="s">
        <x:v>54</x:v>
      </x:c>
      <x:c r="AM6" t="s">
        <x:v>71</x:v>
      </x:c>
      <x:c r="AN6" t="s">
        <x:v>71</x:v>
      </x:c>
      <x:c r="AO6" t="s">
        <x:v>54</x:v>
      </x:c>
      <x:c r="AP6" t="s">
        <x:v>54</x:v>
      </x:c>
      <x:c r="AQ6" t="b">
        <x:v>0</x:v>
      </x:c>
      <x:c r="AR6" t="s">
        <x:v>133</x:v>
      </x:c>
      <x:c r="AS6" t="s">
        <x:v>54</x:v>
      </x:c>
      <x:c r="AT6" t="s">
        <x:v>73</x:v>
      </x:c>
      <x:c r="AU6" t="s">
        <x:v>134</x:v>
      </x:c>
      <x:c r="AV6" t="s">
        <x:v>88</x:v>
      </x:c>
      <x:c r="AW6" t="s">
        <x:v>88</x:v>
      </x:c>
      <x:c r="AX6" t="s">
        <x:v>135</x:v>
      </x:c>
      <x:c r="AY6" t="str">
        <x:f>IF(AND(ISNUMBER(SEARCH("Donovan",AC6)),OR(AT6=TRUE,AT6="TRUE"),OR(AQ6=FALSE,AQ6="FALSE")),"YES","NO")</x:f>
        <x:v>YES</x:v>
      </x:c>
      <x:c r="AZ6" t="str">
        <x:f>IF(AND(AY6="YES",LEFT(I6,2)="FF"),"YES","NO")</x:f>
        <x:v>YES</x:v>
      </x:c>
      <x:c r="BA6" t="str">
        <x:f>IF(AZ6&lt;&gt;"YES","Not FF focus",IF(N6&lt;=2,"0-2 Remote Window",IF(N6&lt;=5,"3-5 Client Follow-up",IF(N6=6,"Day 6 Escalate","7+ Overdue"))))</x:f>
        <x:v>7+ Overdue</x:v>
      </x:c>
      <x:c r="BB6" t="str">
        <x:f>IF(AZ6&lt;&gt;"YES","Excluded",IF(N6&lt;=2,"On Track",IF(N6&lt;=5,"Warning",IF(N6=6,"Escalate Today","Overdue"))))</x:f>
        <x:v>Overdue</x:v>
      </x:c>
      <x:c r="BC6" t="str">
        <x:f>IF(AY6&lt;&gt;"YES","",IF(ISNUMBER(SEARCH("Quote Sent",P6)),"Follow up quote approval weekly + add JC comment",IF(ISNUMBER(SEARCH("Awaiting install",P6)),"Confirm install date/ETA + update JC",IF(ISNUMBER(SEARCH("Schedule",P6)),"Schedule/confirm tech action",IF(AZ6="YES",IF(N6&lt;=2,"Troubleshoot remotely + comment evidence",IF(N6&lt;=5,"Email/call client + record who/when/outcome","Escalate to Lindy + agree action plan")),"Check current status + add clear JC comment")))))</x:f>
        <x:v>Confirm install date/ETA + update JC</x:v>
      </x:c>
      <x:c r="BD6" t="n">
        <x:f>IF(AZ6="YES",6-N6,"")</x:f>
        <x:v>-120</x:v>
      </x:c>
      <x:c r="BE6" t="str">
        <x:f>IF(AY6="YES","Comment must show: date, contact person, method, outcome, next action","")</x:f>
        <x:v>Comment must show: date, contact person, method, outcome, next action</x:v>
      </x:c>
      <x:c r="BF6" t="str">
        <x:f>IF(AND(AY6="YES",O6&gt;=7),"Stuck in status 7+ days","")</x:f>
        <x:v>Stuck in status 7+ days</x:v>
      </x:c>
    </x:row>
    <x:row r="7">
      <x:c r="A7" t="s">
        <x:v>109</x:v>
      </x:c>
      <x:c r="B7" t="s">
        <x:v>136</x:v>
      </x:c>
      <x:c r="C7" t="s">
        <x:v>137</x:v>
      </x:c>
      <x:c r="D7" t="s">
        <x:v>138</x:v>
      </x:c>
      <x:c r="E7" t="s">
        <x:v>54</x:v>
      </x:c>
      <x:c r="F7" t="s">
        <x:v>139</x:v>
      </x:c>
      <x:c r="G7" t="s">
        <x:v>140</x:v>
      </x:c>
      <x:c r="H7" t="s">
        <x:v>141</x:v>
      </x:c>
      <x:c r="I7" t="s">
        <x:v>142</x:v>
      </x:c>
      <x:c r="J7" t="s">
        <x:v>143</x:v>
      </x:c>
      <x:c r="K7" t="s">
        <x:v>54</x:v>
      </x:c>
      <x:c r="L7" t="s">
        <x:v>144</x:v>
      </x:c>
      <x:c r="M7" t="s">
        <x:v>145</x:v>
      </x:c>
      <x:c r="N7">
        <x:v>122</x:v>
      </x:c>
      <x:c r="O7">
        <x:v>69</x:v>
      </x:c>
      <x:c r="P7" t="s">
        <x:v>146</x:v>
      </x:c>
      <x:c r="Q7" t="s">
        <x:v>147</x:v>
      </x:c>
      <x:c r="R7" t="s">
        <x:v>54</x:v>
      </x:c>
      <x:c r="S7" t="s">
        <x:v>54</x:v>
      </x:c>
      <x:c r="T7" t="s">
        <x:v>54</x:v>
      </x:c>
      <x:c r="U7" t="s">
        <x:v>148</x:v>
      </x:c>
      <x:c r="V7" t="s">
        <x:v>54</x:v>
      </x:c>
      <x:c r="W7" t="s">
        <x:v>54</x:v>
      </x:c>
      <x:c r="X7" t="s">
        <x:v>54</x:v>
      </x:c>
      <x:c r="Y7" t="s">
        <x:v>149</x:v>
      </x:c>
      <x:c r="Z7" t="s">
        <x:v>150</x:v>
      </x:c>
      <x:c r="AA7" t="s">
        <x:v>151</x:v>
      </x:c>
      <x:c r="AB7" t="s">
        <x:v>54</x:v>
      </x:c>
      <x:c r="AC7" t="s">
        <x:v>152</x:v>
      </x:c>
      <x:c r="AD7" t="s">
        <x:v>54</x:v>
      </x:c>
      <x:c r="AE7" t="s">
        <x:v>54</x:v>
      </x:c>
      <x:c r="AF7" t="s">
        <x:v>54</x:v>
      </x:c>
      <x:c r="AG7" t="s">
        <x:v>54</x:v>
      </x:c>
      <x:c r="AH7" t="s">
        <x:v>54</x:v>
      </x:c>
      <x:c r="AI7" t="s">
        <x:v>54</x:v>
      </x:c>
      <x:c r="AJ7" t="s">
        <x:v>54</x:v>
      </x:c>
      <x:c r="AK7" t="s">
        <x:v>54</x:v>
      </x:c>
      <x:c r="AL7" t="s">
        <x:v>54</x:v>
      </x:c>
      <x:c r="AM7" t="s">
        <x:v>54</x:v>
      </x:c>
      <x:c r="AN7" t="s">
        <x:v>54</x:v>
      </x:c>
      <x:c r="AO7" t="s">
        <x:v>54</x:v>
      </x:c>
      <x:c r="AP7" t="s">
        <x:v>54</x:v>
      </x:c>
      <x:c r="AQ7" t="b">
        <x:v>0</x:v>
      </x:c>
      <x:c r="AR7" t="s">
        <x:v>153</x:v>
      </x:c>
      <x:c r="AS7" t="s">
        <x:v>54</x:v>
      </x:c>
      <x:c r="AT7" t="s">
        <x:v>73</x:v>
      </x:c>
      <x:c r="AU7" t="s">
        <x:v>154</x:v>
      </x:c>
      <x:c r="AV7" t="s">
        <x:v>88</x:v>
      </x:c>
      <x:c r="AW7" t="s">
        <x:v>155</x:v>
      </x:c>
      <x:c r="AX7" t="s">
        <x:v>147</x:v>
      </x:c>
      <x:c r="AY7" t="str">
        <x:f>IF(AND(ISNUMBER(SEARCH("Donovan",AC7)),OR(AT7=TRUE,AT7="TRUE"),OR(AQ7=FALSE,AQ7="FALSE")),"YES","NO")</x:f>
        <x:v>YES</x:v>
      </x:c>
      <x:c r="AZ7" t="str">
        <x:f>IF(AND(AY7="YES",LEFT(I7,2)="FF"),"YES","NO")</x:f>
        <x:v>NO</x:v>
      </x:c>
      <x:c r="BA7" t="str">
        <x:f>IF(AZ7&lt;&gt;"YES","Not FF focus",IF(N7&lt;=2,"0-2 Remote Window",IF(N7&lt;=5,"3-5 Client Follow-up",IF(N7=6,"Day 6 Escalate","7+ Overdue"))))</x:f>
        <x:v>Not FF focus</x:v>
      </x:c>
      <x:c r="BB7" t="str">
        <x:f>IF(AZ7&lt;&gt;"YES","Excluded",IF(N7&lt;=2,"On Track",IF(N7&lt;=5,"Warning",IF(N7=6,"Escalate Today","Overdue"))))</x:f>
        <x:v>Excluded</x:v>
      </x:c>
      <x:c r="BC7" t="str">
        <x:f>IF(AY7&lt;&gt;"YES","",IF(ISNUMBER(SEARCH("Quote Sent",P7)),"Follow up quote approval weekly + add JC comment",IF(ISNUMBER(SEARCH("Awaiting install",P7)),"Confirm install date/ETA + update JC",IF(ISNUMBER(SEARCH("Schedule",P7)),"Schedule/confirm tech action",IF(AZ7="YES",IF(N7&lt;=2,"Troubleshoot remotely + comment evidence",IF(N7&lt;=5,"Email/call client + record who/when/outcome","Escalate to Lindy + agree action plan")),"Check current status + add clear JC comment")))))</x:f>
        <x:v>Follow up quote approval weekly + add JC comment</x:v>
      </x:c>
      <x:c r="BD7" t="str">
        <x:f>IF(AZ7="YES",6-N7,"")</x:f>
      </x:c>
      <x:c r="BE7" t="str">
        <x:f>IF(AY7="YES","Comment must show: date, contact person, method, outcome, next action","")</x:f>
        <x:v>Comment must show: date, contact person, method, outcome, next action</x:v>
      </x:c>
      <x:c r="BF7" t="str">
        <x:f>IF(AND(AY7="YES",O7&gt;=7),"Stuck in status 7+ days","")</x:f>
        <x:v>Stuck in status 7+ days</x:v>
      </x:c>
    </x:row>
    <x:row r="8">
      <x:c r="A8" t="s">
        <x:v>109</x:v>
      </x:c>
      <x:c r="B8" t="s">
        <x:v>156</x:v>
      </x:c>
      <x:c r="C8" t="s">
        <x:v>157</x:v>
      </x:c>
      <x:c r="D8" t="s">
        <x:v>158</x:v>
      </x:c>
      <x:c r="E8" t="s">
        <x:v>54</x:v>
      </x:c>
      <x:c r="F8" t="s">
        <x:v>159</x:v>
      </x:c>
      <x:c r="G8" t="s">
        <x:v>160</x:v>
      </x:c>
      <x:c r="H8" t="s">
        <x:v>54</x:v>
      </x:c>
      <x:c r="I8" t="s">
        <x:v>115</x:v>
      </x:c>
      <x:c r="J8" t="s">
        <x:v>161</x:v>
      </x:c>
      <x:c r="K8" t="s">
        <x:v>54</x:v>
      </x:c>
      <x:c r="L8" t="s">
        <x:v>162</x:v>
      </x:c>
      <x:c r="M8" t="s">
        <x:v>163</x:v>
      </x:c>
      <x:c r="N8">
        <x:v>107</x:v>
      </x:c>
      <x:c r="O8">
        <x:v>105</x:v>
      </x:c>
      <x:c r="P8" t="s">
        <x:v>146</x:v>
      </x:c>
      <x:c r="Q8" t="s">
        <x:v>164</x:v>
      </x:c>
      <x:c r="R8" t="s">
        <x:v>54</x:v>
      </x:c>
      <x:c r="S8" t="s">
        <x:v>54</x:v>
      </x:c>
      <x:c r="T8" t="s">
        <x:v>54</x:v>
      </x:c>
      <x:c r="U8" t="s">
        <x:v>165</x:v>
      </x:c>
      <x:c r="V8" t="s">
        <x:v>54</x:v>
      </x:c>
      <x:c r="W8" t="s">
        <x:v>54</x:v>
      </x:c>
      <x:c r="X8" t="s">
        <x:v>54</x:v>
      </x:c>
      <x:c r="Y8" t="s">
        <x:v>54</x:v>
      </x:c>
      <x:c r="Z8" t="s">
        <x:v>54</x:v>
      </x:c>
      <x:c r="AA8" t="s">
        <x:v>54</x:v>
      </x:c>
      <x:c r="AB8" t="s">
        <x:v>54</x:v>
      </x:c>
      <x:c r="AC8" t="s">
        <x:v>166</x:v>
      </x:c>
      <x:c r="AD8" t="s">
        <x:v>54</x:v>
      </x:c>
      <x:c r="AE8" t="s">
        <x:v>54</x:v>
      </x:c>
      <x:c r="AF8" t="s">
        <x:v>54</x:v>
      </x:c>
      <x:c r="AG8" t="s">
        <x:v>54</x:v>
      </x:c>
      <x:c r="AH8" t="s">
        <x:v>54</x:v>
      </x:c>
      <x:c r="AI8" t="s">
        <x:v>54</x:v>
      </x:c>
      <x:c r="AJ8" t="s">
        <x:v>54</x:v>
      </x:c>
      <x:c r="AK8" t="s">
        <x:v>54</x:v>
      </x:c>
      <x:c r="AL8" t="s">
        <x:v>54</x:v>
      </x:c>
      <x:c r="AM8" t="s">
        <x:v>54</x:v>
      </x:c>
      <x:c r="AN8" t="s">
        <x:v>54</x:v>
      </x:c>
      <x:c r="AO8" t="s">
        <x:v>54</x:v>
      </x:c>
      <x:c r="AP8" t="s">
        <x:v>54</x:v>
      </x:c>
      <x:c r="AQ8" t="b">
        <x:v>0</x:v>
      </x:c>
      <x:c r="AR8" t="s">
        <x:v>167</x:v>
      </x:c>
      <x:c r="AS8" t="s">
        <x:v>54</x:v>
      </x:c>
      <x:c r="AT8" t="s">
        <x:v>73</x:v>
      </x:c>
      <x:c r="AU8" t="s">
        <x:v>163</x:v>
      </x:c>
      <x:c r="AV8" t="s">
        <x:v>88</x:v>
      </x:c>
      <x:c r="AW8" t="s">
        <x:v>88</x:v>
      </x:c>
      <x:c r="AX8" t="s">
        <x:v>168</x:v>
      </x:c>
      <x:c r="AY8" t="str">
        <x:f>IF(AND(ISNUMBER(SEARCH("Donovan",AC8)),OR(AT8=TRUE,AT8="TRUE"),OR(AQ8=FALSE,AQ8="FALSE")),"YES","NO")</x:f>
        <x:v>YES</x:v>
      </x:c>
      <x:c r="AZ8" t="str">
        <x:f>IF(AND(AY8="YES",LEFT(I8,2)="FF"),"YES","NO")</x:f>
        <x:v>NO</x:v>
      </x:c>
      <x:c r="BA8" t="str">
        <x:f>IF(AZ8&lt;&gt;"YES","Not FF focus",IF(N8&lt;=2,"0-2 Remote Window",IF(N8&lt;=5,"3-5 Client Follow-up",IF(N8=6,"Day 6 Escalate","7+ Overdue"))))</x:f>
        <x:v>Not FF focus</x:v>
      </x:c>
      <x:c r="BB8" t="str">
        <x:f>IF(AZ8&lt;&gt;"YES","Excluded",IF(N8&lt;=2,"On Track",IF(N8&lt;=5,"Warning",IF(N8=6,"Escalate Today","Overdue"))))</x:f>
        <x:v>Excluded</x:v>
      </x:c>
      <x:c r="BC8" t="str">
        <x:f>IF(AY8&lt;&gt;"YES","",IF(ISNUMBER(SEARCH("Quote Sent",P8)),"Follow up quote approval weekly + add JC comment",IF(ISNUMBER(SEARCH("Awaiting install",P8)),"Confirm install date/ETA + update JC",IF(ISNUMBER(SEARCH("Schedule",P8)),"Schedule/confirm tech action",IF(AZ8="YES",IF(N8&lt;=2,"Troubleshoot remotely + comment evidence",IF(N8&lt;=5,"Email/call client + record who/when/outcome","Escalate to Lindy + agree action plan")),"Check current status + add clear JC comment")))))</x:f>
        <x:v>Follow up quote approval weekly + add JC comment</x:v>
      </x:c>
      <x:c r="BD8" t="str">
        <x:f>IF(AZ8="YES",6-N8,"")</x:f>
      </x:c>
      <x:c r="BE8" t="str">
        <x:f>IF(AY8="YES","Comment must show: date, contact person, method, outcome, next action","")</x:f>
        <x:v>Comment must show: date, contact person, method, outcome, next action</x:v>
      </x:c>
      <x:c r="BF8" t="str">
        <x:f>IF(AND(AY8="YES",O8&gt;=7),"Stuck in status 7+ days","")</x:f>
        <x:v>Stuck in status 7+ days</x:v>
      </x:c>
    </x:row>
    <x:row r="9">
      <x:c r="A9" t="s">
        <x:v>109</x:v>
      </x:c>
      <x:c r="B9" t="s">
        <x:v>169</x:v>
      </x:c>
      <x:c r="C9" t="s">
        <x:v>170</x:v>
      </x:c>
      <x:c r="D9" t="s">
        <x:v>171</x:v>
      </x:c>
      <x:c r="E9" t="s">
        <x:v>54</x:v>
      </x:c>
      <x:c r="F9" t="s">
        <x:v>172</x:v>
      </x:c>
      <x:c r="G9" t="s">
        <x:v>173</x:v>
      </x:c>
      <x:c r="H9" t="s">
        <x:v>174</x:v>
      </x:c>
      <x:c r="I9" t="s">
        <x:v>115</x:v>
      </x:c>
      <x:c r="J9" t="s">
        <x:v>175</x:v>
      </x:c>
      <x:c r="K9" t="s">
        <x:v>54</x:v>
      </x:c>
      <x:c r="L9" t="s">
        <x:v>176</x:v>
      </x:c>
      <x:c r="M9" t="s">
        <x:v>177</x:v>
      </x:c>
      <x:c r="N9">
        <x:v>104</x:v>
      </x:c>
      <x:c r="O9">
        <x:v>104</x:v>
      </x:c>
      <x:c r="P9" t="s">
        <x:v>146</x:v>
      </x:c>
      <x:c r="Q9" t="s">
        <x:v>178</x:v>
      </x:c>
      <x:c r="R9" t="s">
        <x:v>54</x:v>
      </x:c>
      <x:c r="S9" t="s">
        <x:v>54</x:v>
      </x:c>
      <x:c r="T9" t="s">
        <x:v>54</x:v>
      </x:c>
      <x:c r="U9" t="s">
        <x:v>179</x:v>
      </x:c>
      <x:c r="V9" t="s">
        <x:v>54</x:v>
      </x:c>
      <x:c r="W9" t="s">
        <x:v>54</x:v>
      </x:c>
      <x:c r="X9" t="s">
        <x:v>54</x:v>
      </x:c>
      <x:c r="Y9" t="s">
        <x:v>54</x:v>
      </x:c>
      <x:c r="Z9" t="s">
        <x:v>54</x:v>
      </x:c>
      <x:c r="AA9" t="s">
        <x:v>54</x:v>
      </x:c>
      <x:c r="AB9" t="s">
        <x:v>54</x:v>
      </x:c>
      <x:c r="AC9" t="s">
        <x:v>166</x:v>
      </x:c>
      <x:c r="AD9" t="s">
        <x:v>54</x:v>
      </x:c>
      <x:c r="AE9" t="s">
        <x:v>54</x:v>
      </x:c>
      <x:c r="AF9" t="s">
        <x:v>54</x:v>
      </x:c>
      <x:c r="AG9" t="s">
        <x:v>54</x:v>
      </x:c>
      <x:c r="AH9" t="s">
        <x:v>54</x:v>
      </x:c>
      <x:c r="AI9" t="s">
        <x:v>54</x:v>
      </x:c>
      <x:c r="AJ9" t="s">
        <x:v>54</x:v>
      </x:c>
      <x:c r="AK9" t="s">
        <x:v>54</x:v>
      </x:c>
      <x:c r="AL9" t="s">
        <x:v>54</x:v>
      </x:c>
      <x:c r="AM9" t="s">
        <x:v>54</x:v>
      </x:c>
      <x:c r="AN9" t="s">
        <x:v>54</x:v>
      </x:c>
      <x:c r="AO9" t="s">
        <x:v>54</x:v>
      </x:c>
      <x:c r="AP9" t="s">
        <x:v>54</x:v>
      </x:c>
      <x:c r="AQ9" t="b">
        <x:v>0</x:v>
      </x:c>
      <x:c r="AR9" t="s">
        <x:v>180</x:v>
      </x:c>
      <x:c r="AS9" t="s">
        <x:v>54</x:v>
      </x:c>
      <x:c r="AT9" t="s">
        <x:v>73</x:v>
      </x:c>
      <x:c r="AU9" t="s">
        <x:v>177</x:v>
      </x:c>
      <x:c r="AV9" t="s">
        <x:v>88</x:v>
      </x:c>
      <x:c r="AW9" t="s">
        <x:v>155</x:v>
      </x:c>
      <x:c r="AX9" t="s">
        <x:v>181</x:v>
      </x:c>
      <x:c r="AY9" t="str">
        <x:f>IF(AND(ISNUMBER(SEARCH("Donovan",AC9)),OR(AT9=TRUE,AT9="TRUE"),OR(AQ9=FALSE,AQ9="FALSE")),"YES","NO")</x:f>
        <x:v>YES</x:v>
      </x:c>
      <x:c r="AZ9" t="str">
        <x:f>IF(AND(AY9="YES",LEFT(I9,2)="FF"),"YES","NO")</x:f>
        <x:v>NO</x:v>
      </x:c>
      <x:c r="BA9" t="str">
        <x:f>IF(AZ9&lt;&gt;"YES","Not FF focus",IF(N9&lt;=2,"0-2 Remote Window",IF(N9&lt;=5,"3-5 Client Follow-up",IF(N9=6,"Day 6 Escalate","7+ Overdue"))))</x:f>
        <x:v>Not FF focus</x:v>
      </x:c>
      <x:c r="BB9" t="str">
        <x:f>IF(AZ9&lt;&gt;"YES","Excluded",IF(N9&lt;=2,"On Track",IF(N9&lt;=5,"Warning",IF(N9=6,"Escalate Today","Overdue"))))</x:f>
        <x:v>Excluded</x:v>
      </x:c>
      <x:c r="BC9" t="str">
        <x:f>IF(AY9&lt;&gt;"YES","",IF(ISNUMBER(SEARCH("Quote Sent",P9)),"Follow up quote approval weekly + add JC comment",IF(ISNUMBER(SEARCH("Awaiting install",P9)),"Confirm install date/ETA + update JC",IF(ISNUMBER(SEARCH("Schedule",P9)),"Schedule/confirm tech action",IF(AZ9="YES",IF(N9&lt;=2,"Troubleshoot remotely + comment evidence",IF(N9&lt;=5,"Email/call client + record who/when/outcome","Escalate to Lindy + agree action plan")),"Check current status + add clear JC comment")))))</x:f>
        <x:v>Follow up quote approval weekly + add JC comment</x:v>
      </x:c>
      <x:c r="BD9" t="str">
        <x:f>IF(AZ9="YES",6-N9,"")</x:f>
      </x:c>
      <x:c r="BE9" t="str">
        <x:f>IF(AY9="YES","Comment must show: date, contact person, method, outcome, next action","")</x:f>
        <x:v>Comment must show: date, contact person, method, outcome, next action</x:v>
      </x:c>
      <x:c r="BF9" t="str">
        <x:f>IF(AND(AY9="YES",O9&gt;=7),"Stuck in status 7+ days","")</x:f>
        <x:v>Stuck in status 7+ days</x:v>
      </x:c>
    </x:row>
    <x:row r="10">
      <x:c r="A10" t="s">
        <x:v>109</x:v>
      </x:c>
      <x:c r="B10" t="s">
        <x:v>182</x:v>
      </x:c>
      <x:c r="C10" t="s">
        <x:v>91</x:v>
      </x:c>
      <x:c r="D10" t="s">
        <x:v>92</x:v>
      </x:c>
      <x:c r="E10" t="s">
        <x:v>54</x:v>
      </x:c>
      <x:c r="F10" t="s">
        <x:v>93</x:v>
      </x:c>
      <x:c r="G10" t="s">
        <x:v>94</x:v>
      </x:c>
      <x:c r="H10" t="s">
        <x:v>54</x:v>
      </x:c>
      <x:c r="I10" t="s">
        <x:v>115</x:v>
      </x:c>
      <x:c r="J10" t="s">
        <x:v>183</x:v>
      </x:c>
      <x:c r="K10" t="s">
        <x:v>54</x:v>
      </x:c>
      <x:c r="L10" t="s">
        <x:v>184</x:v>
      </x:c>
      <x:c r="M10" t="s">
        <x:v>185</x:v>
      </x:c>
      <x:c r="N10">
        <x:v>100</x:v>
      </x:c>
      <x:c r="O10">
        <x:v>51</x:v>
      </x:c>
      <x:c r="P10" t="s">
        <x:v>186</x:v>
      </x:c>
      <x:c r="Q10" t="s">
        <x:v>187</x:v>
      </x:c>
      <x:c r="R10" t="s">
        <x:v>54</x:v>
      </x:c>
      <x:c r="S10" t="s">
        <x:v>54</x:v>
      </x:c>
      <x:c r="T10" t="s">
        <x:v>54</x:v>
      </x:c>
      <x:c r="U10" t="s">
        <x:v>188</x:v>
      </x:c>
      <x:c r="V10" t="s">
        <x:v>54</x:v>
      </x:c>
      <x:c r="W10" t="s">
        <x:v>54</x:v>
      </x:c>
      <x:c r="X10" t="s">
        <x:v>54</x:v>
      </x:c>
      <x:c r="Y10" t="s">
        <x:v>189</x:v>
      </x:c>
      <x:c r="Z10" t="s">
        <x:v>190</x:v>
      </x:c>
      <x:c r="AA10" t="s">
        <x:v>191</x:v>
      </x:c>
      <x:c r="AB10" t="s">
        <x:v>192</x:v>
      </x:c>
      <x:c r="AC10" t="s">
        <x:v>193</x:v>
      </x:c>
      <x:c r="AD10" t="s">
        <x:v>54</x:v>
      </x:c>
      <x:c r="AE10" t="s">
        <x:v>54</x:v>
      </x:c>
      <x:c r="AF10" t="s">
        <x:v>54</x:v>
      </x:c>
      <x:c r="AG10" t="s">
        <x:v>54</x:v>
      </x:c>
      <x:c r="AH10" t="s">
        <x:v>54</x:v>
      </x:c>
      <x:c r="AI10" t="s">
        <x:v>54</x:v>
      </x:c>
      <x:c r="AJ10" t="s">
        <x:v>54</x:v>
      </x:c>
      <x:c r="AK10" t="s">
        <x:v>54</x:v>
      </x:c>
      <x:c r="AL10" t="s">
        <x:v>54</x:v>
      </x:c>
      <x:c r="AM10" t="s">
        <x:v>54</x:v>
      </x:c>
      <x:c r="AN10" t="s">
        <x:v>54</x:v>
      </x:c>
      <x:c r="AO10" t="s">
        <x:v>54</x:v>
      </x:c>
      <x:c r="AP10" t="s">
        <x:v>54</x:v>
      </x:c>
      <x:c r="AQ10" t="b">
        <x:v>0</x:v>
      </x:c>
      <x:c r="AR10" t="s">
        <x:v>194</x:v>
      </x:c>
      <x:c r="AS10" t="s">
        <x:v>54</x:v>
      </x:c>
      <x:c r="AT10" t="s">
        <x:v>73</x:v>
      </x:c>
      <x:c r="AU10" t="s">
        <x:v>185</x:v>
      </x:c>
      <x:c r="AV10" t="s">
        <x:v>195</x:v>
      </x:c>
      <x:c r="AW10" t="s">
        <x:v>195</x:v>
      </x:c>
      <x:c r="AX10" t="s">
        <x:v>196</x:v>
      </x:c>
      <x:c r="AY10" t="str">
        <x:f>IF(AND(ISNUMBER(SEARCH("Donovan",AC10)),OR(AT10=TRUE,AT10="TRUE"),OR(AQ10=FALSE,AQ10="FALSE")),"YES","NO")</x:f>
        <x:v>YES</x:v>
      </x:c>
      <x:c r="AZ10" t="str">
        <x:f>IF(AND(AY10="YES",LEFT(I10,2)="FF"),"YES","NO")</x:f>
        <x:v>NO</x:v>
      </x:c>
      <x:c r="BA10" t="str">
        <x:f>IF(AZ10&lt;&gt;"YES","Not FF focus",IF(N10&lt;=2,"0-2 Remote Window",IF(N10&lt;=5,"3-5 Client Follow-up",IF(N10=6,"Day 6 Escalate","7+ Overdue"))))</x:f>
        <x:v>Not FF focus</x:v>
      </x:c>
      <x:c r="BB10" t="str">
        <x:f>IF(AZ10&lt;&gt;"YES","Excluded",IF(N10&lt;=2,"On Track",IF(N10&lt;=5,"Warning",IF(N10=6,"Escalate Today","Overdue"))))</x:f>
        <x:v>Excluded</x:v>
      </x:c>
      <x:c r="BC10" t="str">
        <x:f>IF(AY10&lt;&gt;"YES","",IF(ISNUMBER(SEARCH("Quote Sent",P10)),"Follow up quote approval weekly + add JC comment",IF(ISNUMBER(SEARCH("Awaiting install",P10)),"Confirm install date/ETA + update JC",IF(ISNUMBER(SEARCH("Schedule",P10)),"Schedule/confirm tech action",IF(AZ10="YES",IF(N10&lt;=2,"Troubleshoot remotely + comment evidence",IF(N10&lt;=5,"Email/call client + record who/when/outcome","Escalate to Lindy + agree action plan")),"Check current status + add clear JC comment")))))</x:f>
        <x:v>Confirm install date/ETA + update JC</x:v>
      </x:c>
      <x:c r="BD10" t="str">
        <x:f>IF(AZ10="YES",6-N10,"")</x:f>
      </x:c>
      <x:c r="BE10" t="str">
        <x:f>IF(AY10="YES","Comment must show: date, contact person, method, outcome, next action","")</x:f>
        <x:v>Comment must show: date, contact person, method, outcome, next action</x:v>
      </x:c>
      <x:c r="BF10" t="str">
        <x:f>IF(AND(AY10="YES",O10&gt;=7),"Stuck in status 7+ days","")</x:f>
        <x:v>Stuck in status 7+ days</x:v>
      </x:c>
    </x:row>
    <x:row r="11">
      <x:c r="A11" t="s">
        <x:v>109</x:v>
      </x:c>
      <x:c r="B11" t="s">
        <x:v>197</x:v>
      </x:c>
      <x:c r="C11" t="s">
        <x:v>198</x:v>
      </x:c>
      <x:c r="D11" t="s">
        <x:v>199</x:v>
      </x:c>
      <x:c r="E11" t="s">
        <x:v>54</x:v>
      </x:c>
      <x:c r="F11" t="s">
        <x:v>200</x:v>
      </x:c>
      <x:c r="G11" t="s">
        <x:v>201</x:v>
      </x:c>
      <x:c r="H11" t="s">
        <x:v>54</x:v>
      </x:c>
      <x:c r="I11" t="s">
        <x:v>142</x:v>
      </x:c>
      <x:c r="J11" t="s">
        <x:v>202</x:v>
      </x:c>
      <x:c r="K11" t="s">
        <x:v>54</x:v>
      </x:c>
      <x:c r="L11" t="s">
        <x:v>203</x:v>
      </x:c>
      <x:c r="M11" t="s">
        <x:v>204</x:v>
      </x:c>
      <x:c r="N11">
        <x:v>99</x:v>
      </x:c>
      <x:c r="O11">
        <x:v>98</x:v>
      </x:c>
      <x:c r="P11" t="s">
        <x:v>146</x:v>
      </x:c>
      <x:c r="Q11" t="s">
        <x:v>205</x:v>
      </x:c>
      <x:c r="R11" t="s">
        <x:v>54</x:v>
      </x:c>
      <x:c r="S11" t="s">
        <x:v>54</x:v>
      </x:c>
      <x:c r="T11" t="s">
        <x:v>54</x:v>
      </x:c>
      <x:c r="U11" t="s">
        <x:v>206</x:v>
      </x:c>
      <x:c r="V11" t="s">
        <x:v>54</x:v>
      </x:c>
      <x:c r="W11" t="s">
        <x:v>54</x:v>
      </x:c>
      <x:c r="X11" t="s">
        <x:v>54</x:v>
      </x:c>
      <x:c r="Y11" t="s">
        <x:v>54</x:v>
      </x:c>
      <x:c r="Z11" t="s">
        <x:v>54</x:v>
      </x:c>
      <x:c r="AA11" t="s">
        <x:v>54</x:v>
      </x:c>
      <x:c r="AB11" t="s">
        <x:v>54</x:v>
      </x:c>
      <x:c r="AC11" t="s">
        <x:v>166</x:v>
      </x:c>
      <x:c r="AD11" t="s">
        <x:v>54</x:v>
      </x:c>
      <x:c r="AE11" t="s">
        <x:v>54</x:v>
      </x:c>
      <x:c r="AF11" t="s">
        <x:v>54</x:v>
      </x:c>
      <x:c r="AG11" t="s">
        <x:v>54</x:v>
      </x:c>
      <x:c r="AH11" t="s">
        <x:v>54</x:v>
      </x:c>
      <x:c r="AI11" t="s">
        <x:v>54</x:v>
      </x:c>
      <x:c r="AJ11" t="s">
        <x:v>54</x:v>
      </x:c>
      <x:c r="AK11" t="s">
        <x:v>54</x:v>
      </x:c>
      <x:c r="AL11" t="s">
        <x:v>54</x:v>
      </x:c>
      <x:c r="AM11" t="s">
        <x:v>54</x:v>
      </x:c>
      <x:c r="AN11" t="s">
        <x:v>54</x:v>
      </x:c>
      <x:c r="AO11" t="s">
        <x:v>54</x:v>
      </x:c>
      <x:c r="AP11" t="s">
        <x:v>54</x:v>
      </x:c>
      <x:c r="AQ11" t="b">
        <x:v>0</x:v>
      </x:c>
      <x:c r="AR11" t="s">
        <x:v>207</x:v>
      </x:c>
      <x:c r="AS11" t="s">
        <x:v>54</x:v>
      </x:c>
      <x:c r="AT11" t="s">
        <x:v>73</x:v>
      </x:c>
      <x:c r="AU11" t="s">
        <x:v>208</x:v>
      </x:c>
      <x:c r="AV11" t="s">
        <x:v>88</x:v>
      </x:c>
      <x:c r="AW11" t="s">
        <x:v>155</x:v>
      </x:c>
      <x:c r="AX11" t="s">
        <x:v>205</x:v>
      </x:c>
      <x:c r="AY11" t="str">
        <x:f>IF(AND(ISNUMBER(SEARCH("Donovan",AC11)),OR(AT11=TRUE,AT11="TRUE"),OR(AQ11=FALSE,AQ11="FALSE")),"YES","NO")</x:f>
        <x:v>YES</x:v>
      </x:c>
      <x:c r="AZ11" t="str">
        <x:f>IF(AND(AY11="YES",LEFT(I11,2)="FF"),"YES","NO")</x:f>
        <x:v>NO</x:v>
      </x:c>
      <x:c r="BA11" t="str">
        <x:f>IF(AZ11&lt;&gt;"YES","Not FF focus",IF(N11&lt;=2,"0-2 Remote Window",IF(N11&lt;=5,"3-5 Client Follow-up",IF(N11=6,"Day 6 Escalate","7+ Overdue"))))</x:f>
        <x:v>Not FF focus</x:v>
      </x:c>
      <x:c r="BB11" t="str">
        <x:f>IF(AZ11&lt;&gt;"YES","Excluded",IF(N11&lt;=2,"On Track",IF(N11&lt;=5,"Warning",IF(N11=6,"Escalate Today","Overdue"))))</x:f>
        <x:v>Excluded</x:v>
      </x:c>
      <x:c r="BC11" t="str">
        <x:f>IF(AY11&lt;&gt;"YES","",IF(ISNUMBER(SEARCH("Quote Sent",P11)),"Follow up quote approval weekly + add JC comment",IF(ISNUMBER(SEARCH("Awaiting install",P11)),"Confirm install date/ETA + update JC",IF(ISNUMBER(SEARCH("Schedule",P11)),"Schedule/confirm tech action",IF(AZ11="YES",IF(N11&lt;=2,"Troubleshoot remotely + comment evidence",IF(N11&lt;=5,"Email/call client + record who/when/outcome","Escalate to Lindy + agree action plan")),"Check current status + add clear JC comment")))))</x:f>
        <x:v>Follow up quote approval weekly + add JC comment</x:v>
      </x:c>
      <x:c r="BD11" t="str">
        <x:f>IF(AZ11="YES",6-N11,"")</x:f>
      </x:c>
      <x:c r="BE11" t="str">
        <x:f>IF(AY11="YES","Comment must show: date, contact person, method, outcome, next action","")</x:f>
        <x:v>Comment must show: date, contact person, method, outcome, next action</x:v>
      </x:c>
      <x:c r="BF11" t="str">
        <x:f>IF(AND(AY11="YES",O11&gt;=7),"Stuck in status 7+ days","")</x:f>
        <x:v>Stuck in status 7+ days</x:v>
      </x:c>
    </x:row>
    <x:row r="12">
      <x:c r="A12" t="s">
        <x:v>109</x:v>
      </x:c>
      <x:c r="B12" t="s">
        <x:v>209</x:v>
      </x:c>
      <x:c r="C12" t="s">
        <x:v>52</x:v>
      </x:c>
      <x:c r="D12" t="s">
        <x:v>53</x:v>
      </x:c>
      <x:c r="E12" t="s">
        <x:v>54</x:v>
      </x:c>
      <x:c r="F12" t="s">
        <x:v>55</x:v>
      </x:c>
      <x:c r="G12" t="s">
        <x:v>56</x:v>
      </x:c>
      <x:c r="H12" t="s">
        <x:v>54</x:v>
      </x:c>
      <x:c r="I12" t="s">
        <x:v>57</x:v>
      </x:c>
      <x:c r="J12" t="s">
        <x:v>210</x:v>
      </x:c>
      <x:c r="K12" t="s">
        <x:v>54</x:v>
      </x:c>
      <x:c r="L12" t="s">
        <x:v>59</x:v>
      </x:c>
      <x:c r="M12" t="s">
        <x:v>211</x:v>
      </x:c>
      <x:c r="N12">
        <x:v>98</x:v>
      </x:c>
      <x:c r="O12">
        <x:v>79</x:v>
      </x:c>
      <x:c r="P12" t="s">
        <x:v>61</x:v>
      </x:c>
      <x:c r="Q12" t="s">
        <x:v>212</x:v>
      </x:c>
      <x:c r="R12" t="s">
        <x:v>54</x:v>
      </x:c>
      <x:c r="S12" t="s">
        <x:v>54</x:v>
      </x:c>
      <x:c r="T12" t="s">
        <x:v>54</x:v>
      </x:c>
      <x:c r="U12" t="s">
        <x:v>54</x:v>
      </x:c>
      <x:c r="V12" t="s">
        <x:v>54</x:v>
      </x:c>
      <x:c r="W12" t="s">
        <x:v>54</x:v>
      </x:c>
      <x:c r="X12" t="s">
        <x:v>54</x:v>
      </x:c>
      <x:c r="Y12" t="s">
        <x:v>213</x:v>
      </x:c>
      <x:c r="Z12" t="s">
        <x:v>214</x:v>
      </x:c>
      <x:c r="AA12" t="s">
        <x:v>215</x:v>
      </x:c>
      <x:c r="AB12" t="s">
        <x:v>85</x:v>
      </x:c>
      <x:c r="AC12" t="s">
        <x:v>68</x:v>
      </x:c>
      <x:c r="AD12" t="s">
        <x:v>54</x:v>
      </x:c>
      <x:c r="AE12" t="s">
        <x:v>54</x:v>
      </x:c>
      <x:c r="AF12" t="s">
        <x:v>54</x:v>
      </x:c>
      <x:c r="AG12" t="s">
        <x:v>216</x:v>
      </x:c>
      <x:c r="AH12" t="s">
        <x:v>54</x:v>
      </x:c>
      <x:c r="AI12" t="s">
        <x:v>54</x:v>
      </x:c>
      <x:c r="AJ12" t="s">
        <x:v>54</x:v>
      </x:c>
      <x:c r="AK12" t="s">
        <x:v>54</x:v>
      </x:c>
      <x:c r="AL12" t="s">
        <x:v>54</x:v>
      </x:c>
      <x:c r="AM12" t="s">
        <x:v>71</x:v>
      </x:c>
      <x:c r="AN12" t="s">
        <x:v>217</x:v>
      </x:c>
      <x:c r="AO12" t="s">
        <x:v>54</x:v>
      </x:c>
      <x:c r="AP12" t="s">
        <x:v>54</x:v>
      </x:c>
      <x:c r="AQ12" t="b">
        <x:v>0</x:v>
      </x:c>
      <x:c r="AR12" t="s">
        <x:v>218</x:v>
      </x:c>
      <x:c r="AS12" t="s">
        <x:v>54</x:v>
      </x:c>
      <x:c r="AT12" t="s">
        <x:v>73</x:v>
      </x:c>
      <x:c r="AU12" t="s">
        <x:v>219</x:v>
      </x:c>
      <x:c r="AV12" t="s">
        <x:v>75</x:v>
      </x:c>
      <x:c r="AW12" t="s">
        <x:v>88</x:v>
      </x:c>
      <x:c r="AX12" t="s">
        <x:v>220</x:v>
      </x:c>
      <x:c r="AY12" t="str">
        <x:f>IF(AND(ISNUMBER(SEARCH("Donovan",AC12)),OR(AT12=TRUE,AT12="TRUE"),OR(AQ12=FALSE,AQ12="FALSE")),"YES","NO")</x:f>
        <x:v>YES</x:v>
      </x:c>
      <x:c r="AZ12" t="str">
        <x:f>IF(AND(AY12="YES",LEFT(I12,2)="FF"),"YES","NO")</x:f>
        <x:v>YES</x:v>
      </x:c>
      <x:c r="BA12" t="str">
        <x:f>IF(AZ12&lt;&gt;"YES","Not FF focus",IF(N12&lt;=2,"0-2 Remote Window",IF(N12&lt;=5,"3-5 Client Follow-up",IF(N12=6,"Day 6 Escalate","7+ Overdue"))))</x:f>
        <x:v>7+ Overdue</x:v>
      </x:c>
      <x:c r="BB12" t="str">
        <x:f>IF(AZ12&lt;&gt;"YES","Excluded",IF(N12&lt;=2,"On Track",IF(N12&lt;=5,"Warning",IF(N12=6,"Escalate Today","Overdue"))))</x:f>
        <x:v>Overdue</x:v>
      </x:c>
      <x:c r="BC12" t="str">
        <x:f>IF(AY12&lt;&gt;"YES","",IF(ISNUMBER(SEARCH("Quote Sent",P12)),"Follow up quote approval weekly + add JC comment",IF(ISNUMBER(SEARCH("Awaiting install",P12)),"Confirm install date/ETA + update JC",IF(ISNUMBER(SEARCH("Schedule",P12)),"Schedule/confirm tech action",IF(AZ12="YES",IF(N12&lt;=2,"Troubleshoot remotely + comment evidence",IF(N12&lt;=5,"Email/call client + record who/when/outcome","Escalate to Lindy + agree action plan")),"Check current status + add clear JC comment")))))</x:f>
        <x:v>Confirm install date/ETA + update JC</x:v>
      </x:c>
      <x:c r="BD12" t="n">
        <x:f>IF(AZ12="YES",6-N12,"")</x:f>
        <x:v>-92</x:v>
      </x:c>
      <x:c r="BE12" t="str">
        <x:f>IF(AY12="YES","Comment must show: date, contact person, method, outcome, next action","")</x:f>
        <x:v>Comment must show: date, contact person, method, outcome, next action</x:v>
      </x:c>
      <x:c r="BF12" t="str">
        <x:f>IF(AND(AY12="YES",O12&gt;=7),"Stuck in status 7+ days","")</x:f>
        <x:v>Stuck in status 7+ days</x:v>
      </x:c>
    </x:row>
    <x:row r="13">
      <x:c r="A13" t="s">
        <x:v>109</x:v>
      </x:c>
      <x:c r="B13" t="s">
        <x:v>221</x:v>
      </x:c>
      <x:c r="C13" t="s">
        <x:v>222</x:v>
      </x:c>
      <x:c r="D13" t="s">
        <x:v>223</x:v>
      </x:c>
      <x:c r="E13" t="s">
        <x:v>54</x:v>
      </x:c>
      <x:c r="F13" t="s">
        <x:v>224</x:v>
      </x:c>
      <x:c r="G13" t="s">
        <x:v>225</x:v>
      </x:c>
      <x:c r="H13" t="s">
        <x:v>226</x:v>
      </x:c>
      <x:c r="I13" t="s">
        <x:v>57</x:v>
      </x:c>
      <x:c r="J13" t="s">
        <x:v>227</x:v>
      </x:c>
      <x:c r="K13" t="s">
        <x:v>54</x:v>
      </x:c>
      <x:c r="L13" t="s">
        <x:v>228</x:v>
      </x:c>
      <x:c r="M13" t="s">
        <x:v>229</x:v>
      </x:c>
      <x:c r="N13">
        <x:v>97</x:v>
      </x:c>
      <x:c r="O13">
        <x:v>93</x:v>
      </x:c>
      <x:c r="P13" t="s">
        <x:v>230</x:v>
      </x:c>
      <x:c r="Q13" t="s">
        <x:v>231</x:v>
      </x:c>
      <x:c r="R13" t="s">
        <x:v>54</x:v>
      </x:c>
      <x:c r="S13" t="s">
        <x:v>54</x:v>
      </x:c>
      <x:c r="T13" t="s">
        <x:v>54</x:v>
      </x:c>
      <x:c r="U13" t="s">
        <x:v>232</x:v>
      </x:c>
      <x:c r="V13" t="s">
        <x:v>54</x:v>
      </x:c>
      <x:c r="W13" t="s">
        <x:v>54</x:v>
      </x:c>
      <x:c r="X13" t="s">
        <x:v>54</x:v>
      </x:c>
      <x:c r="Y13" t="s">
        <x:v>233</x:v>
      </x:c>
      <x:c r="Z13" t="s">
        <x:v>234</x:v>
      </x:c>
      <x:c r="AA13" t="s">
        <x:v>235</x:v>
      </x:c>
      <x:c r="AB13" t="s">
        <x:v>54</x:v>
      </x:c>
      <x:c r="AC13" t="s">
        <x:v>166</x:v>
      </x:c>
      <x:c r="AD13" t="s">
        <x:v>54</x:v>
      </x:c>
      <x:c r="AE13" t="s">
        <x:v>54</x:v>
      </x:c>
      <x:c r="AF13" t="s">
        <x:v>54</x:v>
      </x:c>
      <x:c r="AG13" t="s">
        <x:v>236</x:v>
      </x:c>
      <x:c r="AH13" t="s">
        <x:v>54</x:v>
      </x:c>
      <x:c r="AI13" t="s">
        <x:v>54</x:v>
      </x:c>
      <x:c r="AJ13" t="s">
        <x:v>54</x:v>
      </x:c>
      <x:c r="AK13" t="s">
        <x:v>54</x:v>
      </x:c>
      <x:c r="AL13" t="s">
        <x:v>54</x:v>
      </x:c>
      <x:c r="AM13" t="s">
        <x:v>237</x:v>
      </x:c>
      <x:c r="AN13" t="s">
        <x:v>238</x:v>
      </x:c>
      <x:c r="AO13" t="s">
        <x:v>54</x:v>
      </x:c>
      <x:c r="AP13" t="s">
        <x:v>54</x:v>
      </x:c>
      <x:c r="AQ13" t="b">
        <x:v>0</x:v>
      </x:c>
      <x:c r="AR13" t="s">
        <x:v>239</x:v>
      </x:c>
      <x:c r="AS13" t="s">
        <x:v>54</x:v>
      </x:c>
      <x:c r="AT13" t="s">
        <x:v>73</x:v>
      </x:c>
      <x:c r="AU13" t="s">
        <x:v>229</x:v>
      </x:c>
      <x:c r="AV13" t="s">
        <x:v>75</x:v>
      </x:c>
      <x:c r="AW13" t="s">
        <x:v>240</x:v>
      </x:c>
      <x:c r="AX13" t="s">
        <x:v>241</x:v>
      </x:c>
      <x:c r="AY13" t="str">
        <x:f>IF(AND(ISNUMBER(SEARCH("Donovan",AC13)),OR(AT13=TRUE,AT13="TRUE"),OR(AQ13=FALSE,AQ13="FALSE")),"YES","NO")</x:f>
        <x:v>YES</x:v>
      </x:c>
      <x:c r="AZ13" t="str">
        <x:f>IF(AND(AY13="YES",LEFT(I13,2)="FF"),"YES","NO")</x:f>
        <x:v>YES</x:v>
      </x:c>
      <x:c r="BA13" t="str">
        <x:f>IF(AZ13&lt;&gt;"YES","Not FF focus",IF(N13&lt;=2,"0-2 Remote Window",IF(N13&lt;=5,"3-5 Client Follow-up",IF(N13=6,"Day 6 Escalate","7+ Overdue"))))</x:f>
        <x:v>7+ Overdue</x:v>
      </x:c>
      <x:c r="BB13" t="str">
        <x:f>IF(AZ13&lt;&gt;"YES","Excluded",IF(N13&lt;=2,"On Track",IF(N13&lt;=5,"Warning",IF(N13=6,"Escalate Today","Overdue"))))</x:f>
        <x:v>Overdue</x:v>
      </x:c>
      <x:c r="BC13" t="str">
        <x:f>IF(AY13&lt;&gt;"YES","",IF(ISNUMBER(SEARCH("Quote Sent",P13)),"Follow up quote approval weekly + add JC comment",IF(ISNUMBER(SEARCH("Awaiting install",P13)),"Confirm install date/ETA + update JC",IF(ISNUMBER(SEARCH("Schedule",P13)),"Schedule/confirm tech action",IF(AZ13="YES",IF(N13&lt;=2,"Troubleshoot remotely + comment evidence",IF(N13&lt;=5,"Email/call client + record who/when/outcome","Escalate to Lindy + agree action plan")),"Check current status + add clear JC comment")))))</x:f>
        <x:v>Follow up quote approval weekly + add JC comment</x:v>
      </x:c>
      <x:c r="BD13" t="n">
        <x:f>IF(AZ13="YES",6-N13,"")</x:f>
        <x:v>-91</x:v>
      </x:c>
      <x:c r="BE13" t="str">
        <x:f>IF(AY13="YES","Comment must show: date, contact person, method, outcome, next action","")</x:f>
        <x:v>Comment must show: date, contact person, method, outcome, next action</x:v>
      </x:c>
      <x:c r="BF13" t="str">
        <x:f>IF(AND(AY13="YES",O13&gt;=7),"Stuck in status 7+ days","")</x:f>
        <x:v>Stuck in status 7+ days</x:v>
      </x:c>
    </x:row>
    <x:row r="14">
      <x:c r="A14" t="s">
        <x:v>109</x:v>
      </x:c>
      <x:c r="B14" t="s">
        <x:v>242</x:v>
      </x:c>
      <x:c r="C14" t="s">
        <x:v>243</x:v>
      </x:c>
      <x:c r="D14" t="s">
        <x:v>244</x:v>
      </x:c>
      <x:c r="E14" t="s">
        <x:v>54</x:v>
      </x:c>
      <x:c r="F14" t="s">
        <x:v>245</x:v>
      </x:c>
      <x:c r="G14" t="s">
        <x:v>246</x:v>
      </x:c>
      <x:c r="H14" t="s">
        <x:v>54</x:v>
      </x:c>
      <x:c r="I14" t="s">
        <x:v>142</x:v>
      </x:c>
      <x:c r="J14" t="s">
        <x:v>247</x:v>
      </x:c>
      <x:c r="K14" t="s">
        <x:v>54</x:v>
      </x:c>
      <x:c r="L14" t="s">
        <x:v>248</x:v>
      </x:c>
      <x:c r="M14" t="s">
        <x:v>249</x:v>
      </x:c>
      <x:c r="N14">
        <x:v>97</x:v>
      </x:c>
      <x:c r="O14">
        <x:v>56</x:v>
      </x:c>
      <x:c r="P14" t="s">
        <x:v>250</x:v>
      </x:c>
      <x:c r="Q14" t="s">
        <x:v>251</x:v>
      </x:c>
      <x:c r="R14" t="s">
        <x:v>54</x:v>
      </x:c>
      <x:c r="S14" t="s">
        <x:v>54</x:v>
      </x:c>
      <x:c r="T14" t="s">
        <x:v>54</x:v>
      </x:c>
      <x:c r="U14" t="s">
        <x:v>54</x:v>
      </x:c>
      <x:c r="V14" t="s">
        <x:v>54</x:v>
      </x:c>
      <x:c r="W14" t="s">
        <x:v>54</x:v>
      </x:c>
      <x:c r="X14" t="s">
        <x:v>54</x:v>
      </x:c>
      <x:c r="Y14" t="s">
        <x:v>54</x:v>
      </x:c>
      <x:c r="Z14" t="s">
        <x:v>54</x:v>
      </x:c>
      <x:c r="AA14" t="s">
        <x:v>54</x:v>
      </x:c>
      <x:c r="AB14" t="s">
        <x:v>54</x:v>
      </x:c>
      <x:c r="AC14" t="s">
        <x:v>252</x:v>
      </x:c>
      <x:c r="AD14" t="s">
        <x:v>54</x:v>
      </x:c>
      <x:c r="AE14" t="s">
        <x:v>54</x:v>
      </x:c>
      <x:c r="AF14" t="s">
        <x:v>54</x:v>
      </x:c>
      <x:c r="AG14" t="s">
        <x:v>54</x:v>
      </x:c>
      <x:c r="AH14" t="s">
        <x:v>54</x:v>
      </x:c>
      <x:c r="AI14" t="s">
        <x:v>54</x:v>
      </x:c>
      <x:c r="AJ14" t="s">
        <x:v>54</x:v>
      </x:c>
      <x:c r="AK14" t="s">
        <x:v>54</x:v>
      </x:c>
      <x:c r="AL14" t="s">
        <x:v>54</x:v>
      </x:c>
      <x:c r="AM14" t="s">
        <x:v>54</x:v>
      </x:c>
      <x:c r="AN14" t="s">
        <x:v>54</x:v>
      </x:c>
      <x:c r="AO14" t="s">
        <x:v>54</x:v>
      </x:c>
      <x:c r="AP14" t="s">
        <x:v>54</x:v>
      </x:c>
      <x:c r="AQ14" t="b">
        <x:v>0</x:v>
      </x:c>
      <x:c r="AR14" t="s">
        <x:v>253</x:v>
      </x:c>
      <x:c r="AS14" t="s">
        <x:v>54</x:v>
      </x:c>
      <x:c r="AT14" t="s">
        <x:v>73</x:v>
      </x:c>
      <x:c r="AU14" t="s">
        <x:v>249</x:v>
      </x:c>
      <x:c r="AV14" t="s">
        <x:v>240</x:v>
      </x:c>
      <x:c r="AW14" t="s">
        <x:v>240</x:v>
      </x:c>
      <x:c r="AX14" t="s">
        <x:v>251</x:v>
      </x:c>
      <x:c r="AY14" t="str">
        <x:f>IF(AND(ISNUMBER(SEARCH("Donovan",AC14)),OR(AT14=TRUE,AT14="TRUE"),OR(AQ14=FALSE,AQ14="FALSE")),"YES","NO")</x:f>
        <x:v>YES</x:v>
      </x:c>
      <x:c r="AZ14" t="str">
        <x:f>IF(AND(AY14="YES",LEFT(I14,2)="FF"),"YES","NO")</x:f>
        <x:v>NO</x:v>
      </x:c>
      <x:c r="BA14" t="str">
        <x:f>IF(AZ14&lt;&gt;"YES","Not FF focus",IF(N14&lt;=2,"0-2 Remote Window",IF(N14&lt;=5,"3-5 Client Follow-up",IF(N14=6,"Day 6 Escalate","7+ Overdue"))))</x:f>
        <x:v>Not FF focus</x:v>
      </x:c>
      <x:c r="BB14" t="str">
        <x:f>IF(AZ14&lt;&gt;"YES","Excluded",IF(N14&lt;=2,"On Track",IF(N14&lt;=5,"Warning",IF(N14=6,"Escalate Today","Overdue"))))</x:f>
        <x:v>Excluded</x:v>
      </x:c>
      <x:c r="BC14" t="str">
        <x:f>IF(AY14&lt;&gt;"YES","",IF(ISNUMBER(SEARCH("Quote Sent",P14)),"Follow up quote approval weekly + add JC comment",IF(ISNUMBER(SEARCH("Awaiting install",P14)),"Confirm install date/ETA + update JC",IF(ISNUMBER(SEARCH("Schedule",P14)),"Schedule/confirm tech action",IF(AZ14="YES",IF(N14&lt;=2,"Troubleshoot remotely + comment evidence",IF(N14&lt;=5,"Email/call client + record who/when/outcome","Escalate to Lindy + agree action plan")),"Check current status + add clear JC comment")))))</x:f>
        <x:v>Check current status + add clear JC comment</x:v>
      </x:c>
      <x:c r="BD14" t="str">
        <x:f>IF(AZ14="YES",6-N14,"")</x:f>
      </x:c>
      <x:c r="BE14" t="str">
        <x:f>IF(AY14="YES","Comment must show: date, contact person, method, outcome, next action","")</x:f>
        <x:v>Comment must show: date, contact person, method, outcome, next action</x:v>
      </x:c>
      <x:c r="BF14" t="str">
        <x:f>IF(AND(AY14="YES",O14&gt;=7),"Stuck in status 7+ days","")</x:f>
        <x:v>Stuck in status 7+ days</x:v>
      </x:c>
    </x:row>
    <x:row r="15">
      <x:c r="A15" t="s">
        <x:v>109</x:v>
      </x:c>
      <x:c r="B15" t="s">
        <x:v>254</x:v>
      </x:c>
      <x:c r="C15" t="s">
        <x:v>170</x:v>
      </x:c>
      <x:c r="D15" t="s">
        <x:v>171</x:v>
      </x:c>
      <x:c r="E15" t="s">
        <x:v>54</x:v>
      </x:c>
      <x:c r="F15" t="s">
        <x:v>172</x:v>
      </x:c>
      <x:c r="G15" t="s">
        <x:v>173</x:v>
      </x:c>
      <x:c r="H15" t="s">
        <x:v>174</x:v>
      </x:c>
      <x:c r="I15" t="s">
        <x:v>255</x:v>
      </x:c>
      <x:c r="J15" t="s">
        <x:v>256</x:v>
      </x:c>
      <x:c r="K15" t="s">
        <x:v>54</x:v>
      </x:c>
      <x:c r="L15" t="s">
        <x:v>257</x:v>
      </x:c>
      <x:c r="M15" t="s">
        <x:v>258</x:v>
      </x:c>
      <x:c r="N15">
        <x:v>94</x:v>
      </x:c>
      <x:c r="O15">
        <x:v>94</x:v>
      </x:c>
      <x:c r="P15" t="s">
        <x:v>146</x:v>
      </x:c>
      <x:c r="Q15" t="s">
        <x:v>259</x:v>
      </x:c>
      <x:c r="R15" t="s">
        <x:v>54</x:v>
      </x:c>
      <x:c r="S15" t="s">
        <x:v>54</x:v>
      </x:c>
      <x:c r="T15" t="s">
        <x:v>54</x:v>
      </x:c>
      <x:c r="U15" t="s">
        <x:v>260</x:v>
      </x:c>
      <x:c r="V15" t="s">
        <x:v>54</x:v>
      </x:c>
      <x:c r="W15" t="s">
        <x:v>54</x:v>
      </x:c>
      <x:c r="X15" t="s">
        <x:v>54</x:v>
      </x:c>
      <x:c r="Y15" t="s">
        <x:v>54</x:v>
      </x:c>
      <x:c r="Z15" t="s">
        <x:v>54</x:v>
      </x:c>
      <x:c r="AA15" t="s">
        <x:v>54</x:v>
      </x:c>
      <x:c r="AB15" t="s">
        <x:v>54</x:v>
      </x:c>
      <x:c r="AC15" t="s">
        <x:v>166</x:v>
      </x:c>
      <x:c r="AD15" t="s">
        <x:v>54</x:v>
      </x:c>
      <x:c r="AE15" t="s">
        <x:v>54</x:v>
      </x:c>
      <x:c r="AF15" t="s">
        <x:v>54</x:v>
      </x:c>
      <x:c r="AG15" t="s">
        <x:v>54</x:v>
      </x:c>
      <x:c r="AH15" t="s">
        <x:v>54</x:v>
      </x:c>
      <x:c r="AI15" t="s">
        <x:v>54</x:v>
      </x:c>
      <x:c r="AJ15" t="s">
        <x:v>54</x:v>
      </x:c>
      <x:c r="AK15" t="s">
        <x:v>54</x:v>
      </x:c>
      <x:c r="AL15" t="s">
        <x:v>54</x:v>
      </x:c>
      <x:c r="AM15" t="s">
        <x:v>54</x:v>
      </x:c>
      <x:c r="AN15" t="s">
        <x:v>54</x:v>
      </x:c>
      <x:c r="AO15" t="s">
        <x:v>54</x:v>
      </x:c>
      <x:c r="AP15" t="s">
        <x:v>54</x:v>
      </x:c>
      <x:c r="AQ15" t="b">
        <x:v>0</x:v>
      </x:c>
      <x:c r="AR15" t="s">
        <x:v>261</x:v>
      </x:c>
      <x:c r="AS15" t="s">
        <x:v>54</x:v>
      </x:c>
      <x:c r="AT15" t="s">
        <x:v>73</x:v>
      </x:c>
      <x:c r="AU15" t="s">
        <x:v>258</x:v>
      </x:c>
      <x:c r="AV15" t="s">
        <x:v>155</x:v>
      </x:c>
      <x:c r="AW15" t="s">
        <x:v>88</x:v>
      </x:c>
      <x:c r="AX15" t="s">
        <x:v>262</x:v>
      </x:c>
      <x:c r="AY15" t="str">
        <x:f>IF(AND(ISNUMBER(SEARCH("Donovan",AC15)),OR(AT15=TRUE,AT15="TRUE"),OR(AQ15=FALSE,AQ15="FALSE")),"YES","NO")</x:f>
        <x:v>YES</x:v>
      </x:c>
      <x:c r="AZ15" t="str">
        <x:f>IF(AND(AY15="YES",LEFT(I15,2)="FF"),"YES","NO")</x:f>
        <x:v>NO</x:v>
      </x:c>
      <x:c r="BA15" t="str">
        <x:f>IF(AZ15&lt;&gt;"YES","Not FF focus",IF(N15&lt;=2,"0-2 Remote Window",IF(N15&lt;=5,"3-5 Client Follow-up",IF(N15=6,"Day 6 Escalate","7+ Overdue"))))</x:f>
        <x:v>Not FF focus</x:v>
      </x:c>
      <x:c r="BB15" t="str">
        <x:f>IF(AZ15&lt;&gt;"YES","Excluded",IF(N15&lt;=2,"On Track",IF(N15&lt;=5,"Warning",IF(N15=6,"Escalate Today","Overdue"))))</x:f>
        <x:v>Excluded</x:v>
      </x:c>
      <x:c r="BC15" t="str">
        <x:f>IF(AY15&lt;&gt;"YES","",IF(ISNUMBER(SEARCH("Quote Sent",P15)),"Follow up quote approval weekly + add JC comment",IF(ISNUMBER(SEARCH("Awaiting install",P15)),"Confirm install date/ETA + update JC",IF(ISNUMBER(SEARCH("Schedule",P15)),"Schedule/confirm tech action",IF(AZ15="YES",IF(N15&lt;=2,"Troubleshoot remotely + comment evidence",IF(N15&lt;=5,"Email/call client + record who/when/outcome","Escalate to Lindy + agree action plan")),"Check current status + add clear JC comment")))))</x:f>
        <x:v>Follow up quote approval weekly + add JC comment</x:v>
      </x:c>
      <x:c r="BD15" t="str">
        <x:f>IF(AZ15="YES",6-N15,"")</x:f>
      </x:c>
      <x:c r="BE15" t="str">
        <x:f>IF(AY15="YES","Comment must show: date, contact person, method, outcome, next action","")</x:f>
        <x:v>Comment must show: date, contact person, method, outcome, next action</x:v>
      </x:c>
      <x:c r="BF15" t="str">
        <x:f>IF(AND(AY15="YES",O15&gt;=7),"Stuck in status 7+ days","")</x:f>
        <x:v>Stuck in status 7+ days</x:v>
      </x:c>
    </x:row>
    <x:row r="16">
      <x:c r="A16" t="s">
        <x:v>109</x:v>
      </x:c>
      <x:c r="B16" t="s">
        <x:v>263</x:v>
      </x:c>
      <x:c r="C16" t="s">
        <x:v>264</x:v>
      </x:c>
      <x:c r="D16" t="s">
        <x:v>265</x:v>
      </x:c>
      <x:c r="E16" t="s">
        <x:v>54</x:v>
      </x:c>
      <x:c r="F16" t="s">
        <x:v>266</x:v>
      </x:c>
      <x:c r="G16" t="s">
        <x:v>267</x:v>
      </x:c>
      <x:c r="H16" t="s">
        <x:v>54</x:v>
      </x:c>
      <x:c r="I16" t="s">
        <x:v>57</x:v>
      </x:c>
      <x:c r="J16" t="s">
        <x:v>268</x:v>
      </x:c>
      <x:c r="K16" t="s">
        <x:v>54</x:v>
      </x:c>
      <x:c r="L16" t="s">
        <x:v>269</x:v>
      </x:c>
      <x:c r="M16" t="s">
        <x:v>270</x:v>
      </x:c>
      <x:c r="N16">
        <x:v>93</x:v>
      </x:c>
      <x:c r="O16">
        <x:v>93</x:v>
      </x:c>
      <x:c r="P16" t="s">
        <x:v>230</x:v>
      </x:c>
      <x:c r="Q16" t="s">
        <x:v>271</x:v>
      </x:c>
      <x:c r="R16" t="s">
        <x:v>54</x:v>
      </x:c>
      <x:c r="S16" t="s">
        <x:v>54</x:v>
      </x:c>
      <x:c r="T16" t="s">
        <x:v>54</x:v>
      </x:c>
      <x:c r="U16" t="s">
        <x:v>54</x:v>
      </x:c>
      <x:c r="V16" t="s">
        <x:v>54</x:v>
      </x:c>
      <x:c r="W16" t="s">
        <x:v>54</x:v>
      </x:c>
      <x:c r="X16" t="s">
        <x:v>54</x:v>
      </x:c>
      <x:c r="Y16" t="s">
        <x:v>272</x:v>
      </x:c>
      <x:c r="Z16" t="s">
        <x:v>273</x:v>
      </x:c>
      <x:c r="AA16" t="s">
        <x:v>274</x:v>
      </x:c>
      <x:c r="AB16" t="s">
        <x:v>54</x:v>
      </x:c>
      <x:c r="AC16" t="s">
        <x:v>193</x:v>
      </x:c>
      <x:c r="AD16" t="s">
        <x:v>54</x:v>
      </x:c>
      <x:c r="AE16" t="s">
        <x:v>54</x:v>
      </x:c>
      <x:c r="AF16" t="s">
        <x:v>54</x:v>
      </x:c>
      <x:c r="AG16" t="s">
        <x:v>275</x:v>
      </x:c>
      <x:c r="AH16" t="s">
        <x:v>54</x:v>
      </x:c>
      <x:c r="AI16" t="s">
        <x:v>54</x:v>
      </x:c>
      <x:c r="AJ16" t="s">
        <x:v>54</x:v>
      </x:c>
      <x:c r="AK16" t="s">
        <x:v>54</x:v>
      </x:c>
      <x:c r="AL16" t="s">
        <x:v>54</x:v>
      </x:c>
      <x:c r="AM16" t="s">
        <x:v>276</x:v>
      </x:c>
      <x:c r="AN16" t="s">
        <x:v>277</x:v>
      </x:c>
      <x:c r="AO16" t="s">
        <x:v>54</x:v>
      </x:c>
      <x:c r="AP16" t="s">
        <x:v>54</x:v>
      </x:c>
      <x:c r="AQ16" t="b">
        <x:v>0</x:v>
      </x:c>
      <x:c r="AR16" t="s">
        <x:v>278</x:v>
      </x:c>
      <x:c r="AS16" t="s">
        <x:v>54</x:v>
      </x:c>
      <x:c r="AT16" t="s">
        <x:v>73</x:v>
      </x:c>
      <x:c r="AU16" t="s">
        <x:v>279</x:v>
      </x:c>
      <x:c r="AV16" t="s">
        <x:v>75</x:v>
      </x:c>
      <x:c r="AW16" t="s">
        <x:v>88</x:v>
      </x:c>
      <x:c r="AX16" t="s">
        <x:v>280</x:v>
      </x:c>
      <x:c r="AY16" t="str">
        <x:f>IF(AND(ISNUMBER(SEARCH("Donovan",AC16)),OR(AT16=TRUE,AT16="TRUE"),OR(AQ16=FALSE,AQ16="FALSE")),"YES","NO")</x:f>
        <x:v>YES</x:v>
      </x:c>
      <x:c r="AZ16" t="str">
        <x:f>IF(AND(AY16="YES",LEFT(I16,2)="FF"),"YES","NO")</x:f>
        <x:v>YES</x:v>
      </x:c>
      <x:c r="BA16" t="str">
        <x:f>IF(AZ16&lt;&gt;"YES","Not FF focus",IF(N16&lt;=2,"0-2 Remote Window",IF(N16&lt;=5,"3-5 Client Follow-up",IF(N16=6,"Day 6 Escalate","7+ Overdue"))))</x:f>
        <x:v>7+ Overdue</x:v>
      </x:c>
      <x:c r="BB16" t="str">
        <x:f>IF(AZ16&lt;&gt;"YES","Excluded",IF(N16&lt;=2,"On Track",IF(N16&lt;=5,"Warning",IF(N16=6,"Escalate Today","Overdue"))))</x:f>
        <x:v>Overdue</x:v>
      </x:c>
      <x:c r="BC16" t="str">
        <x:f>IF(AY16&lt;&gt;"YES","",IF(ISNUMBER(SEARCH("Quote Sent",P16)),"Follow up quote approval weekly + add JC comment",IF(ISNUMBER(SEARCH("Awaiting install",P16)),"Confirm install date/ETA + update JC",IF(ISNUMBER(SEARCH("Schedule",P16)),"Schedule/confirm tech action",IF(AZ16="YES",IF(N16&lt;=2,"Troubleshoot remotely + comment evidence",IF(N16&lt;=5,"Email/call client + record who/when/outcome","Escalate to Lindy + agree action plan")),"Check current status + add clear JC comment")))))</x:f>
        <x:v>Follow up quote approval weekly + add JC comment</x:v>
      </x:c>
      <x:c r="BD16" t="n">
        <x:f>IF(AZ16="YES",6-N16,"")</x:f>
        <x:v>-87</x:v>
      </x:c>
      <x:c r="BE16" t="str">
        <x:f>IF(AY16="YES","Comment must show: date, contact person, method, outcome, next action","")</x:f>
        <x:v>Comment must show: date, contact person, method, outcome, next action</x:v>
      </x:c>
      <x:c r="BF16" t="str">
        <x:f>IF(AND(AY16="YES",O16&gt;=7),"Stuck in status 7+ days","")</x:f>
        <x:v>Stuck in status 7+ days</x:v>
      </x:c>
    </x:row>
    <x:row r="17">
      <x:c r="A17" t="s">
        <x:v>109</x:v>
      </x:c>
      <x:c r="B17" t="s">
        <x:v>281</x:v>
      </x:c>
      <x:c r="C17" t="s">
        <x:v>282</x:v>
      </x:c>
      <x:c r="D17" t="s">
        <x:v>283</x:v>
      </x:c>
      <x:c r="E17" t="s">
        <x:v>54</x:v>
      </x:c>
      <x:c r="F17" t="s">
        <x:v>284</x:v>
      </x:c>
      <x:c r="G17" t="s">
        <x:v>285</x:v>
      </x:c>
      <x:c r="H17" t="s">
        <x:v>54</x:v>
      </x:c>
      <x:c r="I17" t="s">
        <x:v>142</x:v>
      </x:c>
      <x:c r="J17" t="s">
        <x:v>286</x:v>
      </x:c>
      <x:c r="K17" t="s">
        <x:v>54</x:v>
      </x:c>
      <x:c r="L17" t="s">
        <x:v>287</x:v>
      </x:c>
      <x:c r="M17" t="s">
        <x:v>288</x:v>
      </x:c>
      <x:c r="N17">
        <x:v>78</x:v>
      </x:c>
      <x:c r="O17">
        <x:v>16</x:v>
      </x:c>
      <x:c r="P17" t="s">
        <x:v>250</x:v>
      </x:c>
      <x:c r="Q17" t="s">
        <x:v>289</x:v>
      </x:c>
      <x:c r="R17" t="s">
        <x:v>54</x:v>
      </x:c>
      <x:c r="S17" t="s">
        <x:v>54</x:v>
      </x:c>
      <x:c r="T17" t="s">
        <x:v>54</x:v>
      </x:c>
      <x:c r="U17" t="s">
        <x:v>290</x:v>
      </x:c>
      <x:c r="V17" t="s">
        <x:v>54</x:v>
      </x:c>
      <x:c r="W17" t="s">
        <x:v>54</x:v>
      </x:c>
      <x:c r="X17" t="s">
        <x:v>54</x:v>
      </x:c>
      <x:c r="Y17" t="s">
        <x:v>54</x:v>
      </x:c>
      <x:c r="Z17" t="s">
        <x:v>54</x:v>
      </x:c>
      <x:c r="AA17" t="s">
        <x:v>54</x:v>
      </x:c>
      <x:c r="AB17" t="s">
        <x:v>54</x:v>
      </x:c>
      <x:c r="AC17" t="s">
        <x:v>291</x:v>
      </x:c>
      <x:c r="AD17" t="s">
        <x:v>54</x:v>
      </x:c>
      <x:c r="AE17" t="s">
        <x:v>54</x:v>
      </x:c>
      <x:c r="AF17" t="s">
        <x:v>54</x:v>
      </x:c>
      <x:c r="AG17" t="s">
        <x:v>54</x:v>
      </x:c>
      <x:c r="AH17" t="s">
        <x:v>54</x:v>
      </x:c>
      <x:c r="AI17" t="s">
        <x:v>54</x:v>
      </x:c>
      <x:c r="AJ17" t="s">
        <x:v>54</x:v>
      </x:c>
      <x:c r="AK17" t="s">
        <x:v>54</x:v>
      </x:c>
      <x:c r="AL17" t="s">
        <x:v>54</x:v>
      </x:c>
      <x:c r="AM17" t="s">
        <x:v>54</x:v>
      </x:c>
      <x:c r="AN17" t="s">
        <x:v>54</x:v>
      </x:c>
      <x:c r="AO17" t="s">
        <x:v>54</x:v>
      </x:c>
      <x:c r="AP17" t="s">
        <x:v>54</x:v>
      </x:c>
      <x:c r="AQ17" t="b">
        <x:v>0</x:v>
      </x:c>
      <x:c r="AR17" t="s">
        <x:v>292</x:v>
      </x:c>
      <x:c r="AS17" t="s">
        <x:v>54</x:v>
      </x:c>
      <x:c r="AT17" t="s">
        <x:v>73</x:v>
      </x:c>
      <x:c r="AU17" t="s">
        <x:v>288</x:v>
      </x:c>
      <x:c r="AV17" t="s">
        <x:v>88</x:v>
      </x:c>
      <x:c r="AW17" t="s">
        <x:v>88</x:v>
      </x:c>
      <x:c r="AX17" t="s">
        <x:v>293</x:v>
      </x:c>
      <x:c r="AY17" t="str">
        <x:f>IF(AND(ISNUMBER(SEARCH("Donovan",AC17)),OR(AT17=TRUE,AT17="TRUE"),OR(AQ17=FALSE,AQ17="FALSE")),"YES","NO")</x:f>
        <x:v>YES</x:v>
      </x:c>
      <x:c r="AZ17" t="str">
        <x:f>IF(AND(AY17="YES",LEFT(I17,2)="FF"),"YES","NO")</x:f>
        <x:v>NO</x:v>
      </x:c>
      <x:c r="BA17" t="str">
        <x:f>IF(AZ17&lt;&gt;"YES","Not FF focus",IF(N17&lt;=2,"0-2 Remote Window",IF(N17&lt;=5,"3-5 Client Follow-up",IF(N17=6,"Day 6 Escalate","7+ Overdue"))))</x:f>
        <x:v>Not FF focus</x:v>
      </x:c>
      <x:c r="BB17" t="str">
        <x:f>IF(AZ17&lt;&gt;"YES","Excluded",IF(N17&lt;=2,"On Track",IF(N17&lt;=5,"Warning",IF(N17=6,"Escalate Today","Overdue"))))</x:f>
        <x:v>Excluded</x:v>
      </x:c>
      <x:c r="BC17" t="str">
        <x:f>IF(AY17&lt;&gt;"YES","",IF(ISNUMBER(SEARCH("Quote Sent",P17)),"Follow up quote approval weekly + add JC comment",IF(ISNUMBER(SEARCH("Awaiting install",P17)),"Confirm install date/ETA + update JC",IF(ISNUMBER(SEARCH("Schedule",P17)),"Schedule/confirm tech action",IF(AZ17="YES",IF(N17&lt;=2,"Troubleshoot remotely + comment evidence",IF(N17&lt;=5,"Email/call client + record who/when/outcome","Escalate to Lindy + agree action plan")),"Check current status + add clear JC comment")))))</x:f>
        <x:v>Check current status + add clear JC comment</x:v>
      </x:c>
      <x:c r="BD17" t="str">
        <x:f>IF(AZ17="YES",6-N17,"")</x:f>
      </x:c>
      <x:c r="BE17" t="str">
        <x:f>IF(AY17="YES","Comment must show: date, contact person, method, outcome, next action","")</x:f>
        <x:v>Comment must show: date, contact person, method, outcome, next action</x:v>
      </x:c>
      <x:c r="BF17" t="str">
        <x:f>IF(AND(AY17="YES",O17&gt;=7),"Stuck in status 7+ days","")</x:f>
        <x:v>Stuck in status 7+ days</x:v>
      </x:c>
    </x:row>
    <x:row r="18">
      <x:c r="A18" t="s">
        <x:v>109</x:v>
      </x:c>
      <x:c r="B18" t="s">
        <x:v>294</x:v>
      </x:c>
      <x:c r="C18" t="s">
        <x:v>282</x:v>
      </x:c>
      <x:c r="D18" t="s">
        <x:v>283</x:v>
      </x:c>
      <x:c r="E18" t="s">
        <x:v>54</x:v>
      </x:c>
      <x:c r="F18" t="s">
        <x:v>284</x:v>
      </x:c>
      <x:c r="G18" t="s">
        <x:v>285</x:v>
      </x:c>
      <x:c r="H18" t="s">
        <x:v>54</x:v>
      </x:c>
      <x:c r="I18" t="s">
        <x:v>255</x:v>
      </x:c>
      <x:c r="J18" t="s">
        <x:v>286</x:v>
      </x:c>
      <x:c r="K18" t="s">
        <x:v>54</x:v>
      </x:c>
      <x:c r="L18" t="s">
        <x:v>287</x:v>
      </x:c>
      <x:c r="M18" t="s">
        <x:v>295</x:v>
      </x:c>
      <x:c r="N18">
        <x:v>78</x:v>
      </x:c>
      <x:c r="O18">
        <x:v>7</x:v>
      </x:c>
      <x:c r="P18" t="s">
        <x:v>250</x:v>
      </x:c>
      <x:c r="Q18" t="s">
        <x:v>296</x:v>
      </x:c>
      <x:c r="R18" t="s">
        <x:v>54</x:v>
      </x:c>
      <x:c r="S18" t="s">
        <x:v>54</x:v>
      </x:c>
      <x:c r="T18" t="s">
        <x:v>54</x:v>
      </x:c>
      <x:c r="U18" t="s">
        <x:v>54</x:v>
      </x:c>
      <x:c r="V18" t="s">
        <x:v>54</x:v>
      </x:c>
      <x:c r="W18" t="s">
        <x:v>54</x:v>
      </x:c>
      <x:c r="X18" t="s">
        <x:v>54</x:v>
      </x:c>
      <x:c r="Y18" t="s">
        <x:v>54</x:v>
      </x:c>
      <x:c r="Z18" t="s">
        <x:v>54</x:v>
      </x:c>
      <x:c r="AA18" t="s">
        <x:v>54</x:v>
      </x:c>
      <x:c r="AB18" t="s">
        <x:v>54</x:v>
      </x:c>
      <x:c r="AC18" t="s">
        <x:v>291</x:v>
      </x:c>
      <x:c r="AD18" t="s">
        <x:v>54</x:v>
      </x:c>
      <x:c r="AE18" t="s">
        <x:v>54</x:v>
      </x:c>
      <x:c r="AF18" t="s">
        <x:v>54</x:v>
      </x:c>
      <x:c r="AG18" t="s">
        <x:v>54</x:v>
      </x:c>
      <x:c r="AH18" t="s">
        <x:v>54</x:v>
      </x:c>
      <x:c r="AI18" t="s">
        <x:v>54</x:v>
      </x:c>
      <x:c r="AJ18" t="s">
        <x:v>54</x:v>
      </x:c>
      <x:c r="AK18" t="s">
        <x:v>54</x:v>
      </x:c>
      <x:c r="AL18" t="s">
        <x:v>54</x:v>
      </x:c>
      <x:c r="AM18" t="s">
        <x:v>54</x:v>
      </x:c>
      <x:c r="AN18" t="s">
        <x:v>54</x:v>
      </x:c>
      <x:c r="AO18" t="s">
        <x:v>54</x:v>
      </x:c>
      <x:c r="AP18" t="s">
        <x:v>54</x:v>
      </x:c>
      <x:c r="AQ18" t="b">
        <x:v>0</x:v>
      </x:c>
      <x:c r="AR18" t="s">
        <x:v>297</x:v>
      </x:c>
      <x:c r="AS18" t="s">
        <x:v>54</x:v>
      </x:c>
      <x:c r="AT18" t="s">
        <x:v>73</x:v>
      </x:c>
      <x:c r="AU18" t="s">
        <x:v>295</x:v>
      </x:c>
      <x:c r="AV18" t="s">
        <x:v>88</x:v>
      </x:c>
      <x:c r="AW18" t="s">
        <x:v>88</x:v>
      </x:c>
      <x:c r="AX18" t="s">
        <x:v>298</x:v>
      </x:c>
      <x:c r="AY18" t="str">
        <x:f>IF(AND(ISNUMBER(SEARCH("Donovan",AC18)),OR(AT18=TRUE,AT18="TRUE"),OR(AQ18=FALSE,AQ18="FALSE")),"YES","NO")</x:f>
        <x:v>YES</x:v>
      </x:c>
      <x:c r="AZ18" t="str">
        <x:f>IF(AND(AY18="YES",LEFT(I18,2)="FF"),"YES","NO")</x:f>
        <x:v>NO</x:v>
      </x:c>
      <x:c r="BA18" t="str">
        <x:f>IF(AZ18&lt;&gt;"YES","Not FF focus",IF(N18&lt;=2,"0-2 Remote Window",IF(N18&lt;=5,"3-5 Client Follow-up",IF(N18=6,"Day 6 Escalate","7+ Overdue"))))</x:f>
        <x:v>Not FF focus</x:v>
      </x:c>
      <x:c r="BB18" t="str">
        <x:f>IF(AZ18&lt;&gt;"YES","Excluded",IF(N18&lt;=2,"On Track",IF(N18&lt;=5,"Warning",IF(N18=6,"Escalate Today","Overdue"))))</x:f>
        <x:v>Excluded</x:v>
      </x:c>
      <x:c r="BC18" t="str">
        <x:f>IF(AY18&lt;&gt;"YES","",IF(ISNUMBER(SEARCH("Quote Sent",P18)),"Follow up quote approval weekly + add JC comment",IF(ISNUMBER(SEARCH("Awaiting install",P18)),"Confirm install date/ETA + update JC",IF(ISNUMBER(SEARCH("Schedule",P18)),"Schedule/confirm tech action",IF(AZ18="YES",IF(N18&lt;=2,"Troubleshoot remotely + comment evidence",IF(N18&lt;=5,"Email/call client + record who/when/outcome","Escalate to Lindy + agree action plan")),"Check current status + add clear JC comment")))))</x:f>
        <x:v>Check current status + add clear JC comment</x:v>
      </x:c>
      <x:c r="BD18" t="str">
        <x:f>IF(AZ18="YES",6-N18,"")</x:f>
      </x:c>
      <x:c r="BE18" t="str">
        <x:f>IF(AY18="YES","Comment must show: date, contact person, method, outcome, next action","")</x:f>
        <x:v>Comment must show: date, contact person, method, outcome, next action</x:v>
      </x:c>
      <x:c r="BF18" t="str">
        <x:f>IF(AND(AY18="YES",O18&gt;=7),"Stuck in status 7+ days","")</x:f>
        <x:v>Stuck in status 7+ days</x:v>
      </x:c>
    </x:row>
    <x:row r="19">
      <x:c r="A19" t="s">
        <x:v>50</x:v>
      </x:c>
      <x:c r="B19" t="s">
        <x:v>299</x:v>
      </x:c>
      <x:c r="C19" t="s">
        <x:v>222</x:v>
      </x:c>
      <x:c r="D19" t="s">
        <x:v>223</x:v>
      </x:c>
      <x:c r="E19" t="s">
        <x:v>54</x:v>
      </x:c>
      <x:c r="F19" t="s">
        <x:v>300</x:v>
      </x:c>
      <x:c r="G19" t="s">
        <x:v>301</x:v>
      </x:c>
      <x:c r="H19" t="s">
        <x:v>302</x:v>
      </x:c>
      <x:c r="I19" t="s">
        <x:v>57</x:v>
      </x:c>
      <x:c r="J19" t="s">
        <x:v>303</x:v>
      </x:c>
      <x:c r="K19" t="s">
        <x:v>54</x:v>
      </x:c>
      <x:c r="L19" t="s">
        <x:v>304</x:v>
      </x:c>
      <x:c r="M19" t="s">
        <x:v>305</x:v>
      </x:c>
      <x:c r="N19">
        <x:v>70</x:v>
      </x:c>
      <x:c r="O19">
        <x:v>29</x:v>
      </x:c>
      <x:c r="P19" t="s">
        <x:v>61</x:v>
      </x:c>
      <x:c r="Q19" t="s">
        <x:v>306</x:v>
      </x:c>
      <x:c r="R19" t="s">
        <x:v>54</x:v>
      </x:c>
      <x:c r="S19" t="s">
        <x:v>54</x:v>
      </x:c>
      <x:c r="T19" t="s">
        <x:v>54</x:v>
      </x:c>
      <x:c r="U19" t="s">
        <x:v>307</x:v>
      </x:c>
      <x:c r="V19" t="s">
        <x:v>54</x:v>
      </x:c>
      <x:c r="W19" t="s">
        <x:v>54</x:v>
      </x:c>
      <x:c r="X19" t="s">
        <x:v>54</x:v>
      </x:c>
      <x:c r="Y19" t="s">
        <x:v>308</x:v>
      </x:c>
      <x:c r="Z19" t="s">
        <x:v>309</x:v>
      </x:c>
      <x:c r="AA19" t="s">
        <x:v>310</x:v>
      </x:c>
      <x:c r="AB19" t="s">
        <x:v>85</x:v>
      </x:c>
      <x:c r="AC19" t="s">
        <x:v>166</x:v>
      </x:c>
      <x:c r="AD19" t="s">
        <x:v>54</x:v>
      </x:c>
      <x:c r="AE19" t="s">
        <x:v>54</x:v>
      </x:c>
      <x:c r="AF19" t="s">
        <x:v>54</x:v>
      </x:c>
      <x:c r="AG19" t="s">
        <x:v>311</x:v>
      </x:c>
      <x:c r="AH19" t="s">
        <x:v>54</x:v>
      </x:c>
      <x:c r="AI19" t="s">
        <x:v>54</x:v>
      </x:c>
      <x:c r="AJ19" t="s">
        <x:v>54</x:v>
      </x:c>
      <x:c r="AK19" t="s">
        <x:v>54</x:v>
      </x:c>
      <x:c r="AL19" t="s">
        <x:v>54</x:v>
      </x:c>
      <x:c r="AM19" t="s">
        <x:v>312</x:v>
      </x:c>
      <x:c r="AN19" t="s">
        <x:v>313</x:v>
      </x:c>
      <x:c r="AO19" t="s">
        <x:v>54</x:v>
      </x:c>
      <x:c r="AP19" t="s">
        <x:v>54</x:v>
      </x:c>
      <x:c r="AQ19" t="b">
        <x:v>0</x:v>
      </x:c>
      <x:c r="AR19" t="s">
        <x:v>314</x:v>
      </x:c>
      <x:c r="AS19" t="s">
        <x:v>54</x:v>
      </x:c>
      <x:c r="AT19" t="s">
        <x:v>73</x:v>
      </x:c>
      <x:c r="AU19" t="s">
        <x:v>315</x:v>
      </x:c>
      <x:c r="AV19" t="s">
        <x:v>75</x:v>
      </x:c>
      <x:c r="AW19" t="s">
        <x:v>76</x:v>
      </x:c>
      <x:c r="AX19" t="s">
        <x:v>306</x:v>
      </x:c>
      <x:c r="AY19" t="str">
        <x:f>IF(AND(ISNUMBER(SEARCH("Donovan",AC19)),OR(AT19=TRUE,AT19="TRUE"),OR(AQ19=FALSE,AQ19="FALSE")),"YES","NO")</x:f>
        <x:v>YES</x:v>
      </x:c>
      <x:c r="AZ19" t="str">
        <x:f>IF(AND(AY19="YES",LEFT(I19,2)="FF"),"YES","NO")</x:f>
        <x:v>YES</x:v>
      </x:c>
      <x:c r="BA19" t="str">
        <x:f>IF(AZ19&lt;&gt;"YES","Not FF focus",IF(N19&lt;=2,"0-2 Remote Window",IF(N19&lt;=5,"3-5 Client Follow-up",IF(N19=6,"Day 6 Escalate","7+ Overdue"))))</x:f>
        <x:v>7+ Overdue</x:v>
      </x:c>
      <x:c r="BB19" t="str">
        <x:f>IF(AZ19&lt;&gt;"YES","Excluded",IF(N19&lt;=2,"On Track",IF(N19&lt;=5,"Warning",IF(N19=6,"Escalate Today","Overdue"))))</x:f>
        <x:v>Overdue</x:v>
      </x:c>
      <x:c r="BC19" t="str">
        <x:f>IF(AY19&lt;&gt;"YES","",IF(ISNUMBER(SEARCH("Quote Sent",P19)),"Follow up quote approval weekly + add JC comment",IF(ISNUMBER(SEARCH("Awaiting install",P19)),"Confirm install date/ETA + update JC",IF(ISNUMBER(SEARCH("Schedule",P19)),"Schedule/confirm tech action",IF(AZ19="YES",IF(N19&lt;=2,"Troubleshoot remotely + comment evidence",IF(N19&lt;=5,"Email/call client + record who/when/outcome","Escalate to Lindy + agree action plan")),"Check current status + add clear JC comment")))))</x:f>
        <x:v>Confirm install date/ETA + update JC</x:v>
      </x:c>
      <x:c r="BD19" t="n">
        <x:f>IF(AZ19="YES",6-N19,"")</x:f>
        <x:v>-64</x:v>
      </x:c>
      <x:c r="BE19" t="str">
        <x:f>IF(AY19="YES","Comment must show: date, contact person, method, outcome, next action","")</x:f>
        <x:v>Comment must show: date, contact person, method, outcome, next action</x:v>
      </x:c>
      <x:c r="BF19" t="str">
        <x:f>IF(AND(AY19="YES",O19&gt;=7),"Stuck in status 7+ days","")</x:f>
        <x:v>Stuck in status 7+ days</x:v>
      </x:c>
    </x:row>
    <x:row r="20">
      <x:c r="A20" t="s">
        <x:v>50</x:v>
      </x:c>
      <x:c r="B20" t="s">
        <x:v>316</x:v>
      </x:c>
      <x:c r="C20" t="s">
        <x:v>317</x:v>
      </x:c>
      <x:c r="D20" t="s">
        <x:v>318</x:v>
      </x:c>
      <x:c r="E20" t="s">
        <x:v>54</x:v>
      </x:c>
      <x:c r="F20" t="s">
        <x:v>319</x:v>
      </x:c>
      <x:c r="G20" t="s">
        <x:v>320</x:v>
      </x:c>
      <x:c r="H20" t="s">
        <x:v>54</x:v>
      </x:c>
      <x:c r="I20" t="s">
        <x:v>95</x:v>
      </x:c>
      <x:c r="J20" t="s">
        <x:v>321</x:v>
      </x:c>
      <x:c r="K20" t="s">
        <x:v>54</x:v>
      </x:c>
      <x:c r="L20" t="s">
        <x:v>322</x:v>
      </x:c>
      <x:c r="M20" t="s">
        <x:v>323</x:v>
      </x:c>
      <x:c r="N20">
        <x:v>69</x:v>
      </x:c>
      <x:c r="O20">
        <x:v>30</x:v>
      </x:c>
      <x:c r="P20" t="s">
        <x:v>230</x:v>
      </x:c>
      <x:c r="Q20" t="s">
        <x:v>324</x:v>
      </x:c>
      <x:c r="R20" t="s">
        <x:v>54</x:v>
      </x:c>
      <x:c r="S20" t="s">
        <x:v>54</x:v>
      </x:c>
      <x:c r="T20" t="s">
        <x:v>54</x:v>
      </x:c>
      <x:c r="U20" t="s">
        <x:v>325</x:v>
      </x:c>
      <x:c r="V20" t="s">
        <x:v>54</x:v>
      </x:c>
      <x:c r="W20" t="s">
        <x:v>54</x:v>
      </x:c>
      <x:c r="X20" t="s">
        <x:v>54</x:v>
      </x:c>
      <x:c r="Y20" t="s">
        <x:v>326</x:v>
      </x:c>
      <x:c r="Z20" t="s">
        <x:v>327</x:v>
      </x:c>
      <x:c r="AA20" t="s">
        <x:v>328</x:v>
      </x:c>
      <x:c r="AB20" t="s">
        <x:v>54</x:v>
      </x:c>
      <x:c r="AC20" t="s">
        <x:v>329</x:v>
      </x:c>
      <x:c r="AD20" t="s">
        <x:v>54</x:v>
      </x:c>
      <x:c r="AE20" t="s">
        <x:v>54</x:v>
      </x:c>
      <x:c r="AF20" t="s">
        <x:v>54</x:v>
      </x:c>
      <x:c r="AG20" t="s">
        <x:v>330</x:v>
      </x:c>
      <x:c r="AH20" t="s">
        <x:v>54</x:v>
      </x:c>
      <x:c r="AI20" t="s">
        <x:v>54</x:v>
      </x:c>
      <x:c r="AJ20" t="s">
        <x:v>54</x:v>
      </x:c>
      <x:c r="AK20" t="s">
        <x:v>54</x:v>
      </x:c>
      <x:c r="AL20" t="s">
        <x:v>54</x:v>
      </x:c>
      <x:c r="AM20" t="s">
        <x:v>331</x:v>
      </x:c>
      <x:c r="AN20" t="s">
        <x:v>332</x:v>
      </x:c>
      <x:c r="AO20" t="s">
        <x:v>54</x:v>
      </x:c>
      <x:c r="AP20" t="s">
        <x:v>54</x:v>
      </x:c>
      <x:c r="AQ20" t="b">
        <x:v>0</x:v>
      </x:c>
      <x:c r="AR20" t="s">
        <x:v>333</x:v>
      </x:c>
      <x:c r="AS20" t="s">
        <x:v>54</x:v>
      </x:c>
      <x:c r="AT20" t="s">
        <x:v>73</x:v>
      </x:c>
      <x:c r="AU20" t="s">
        <x:v>334</x:v>
      </x:c>
      <x:c r="AV20" t="s">
        <x:v>75</x:v>
      </x:c>
      <x:c r="AW20" t="s">
        <x:v>155</x:v>
      </x:c>
      <x:c r="AX20" t="s">
        <x:v>324</x:v>
      </x:c>
      <x:c r="AY20" t="str">
        <x:f>IF(AND(ISNUMBER(SEARCH("Donovan",AC20)),OR(AT20=TRUE,AT20="TRUE"),OR(AQ20=FALSE,AQ20="FALSE")),"YES","NO")</x:f>
        <x:v>YES</x:v>
      </x:c>
      <x:c r="AZ20" t="str">
        <x:f>IF(AND(AY20="YES",LEFT(I20,2)="FF"),"YES","NO")</x:f>
        <x:v>YES</x:v>
      </x:c>
      <x:c r="BA20" t="str">
        <x:f>IF(AZ20&lt;&gt;"YES","Not FF focus",IF(N20&lt;=2,"0-2 Remote Window",IF(N20&lt;=5,"3-5 Client Follow-up",IF(N20=6,"Day 6 Escalate","7+ Overdue"))))</x:f>
        <x:v>7+ Overdue</x:v>
      </x:c>
      <x:c r="BB20" t="str">
        <x:f>IF(AZ20&lt;&gt;"YES","Excluded",IF(N20&lt;=2,"On Track",IF(N20&lt;=5,"Warning",IF(N20=6,"Escalate Today","Overdue"))))</x:f>
        <x:v>Overdue</x:v>
      </x:c>
      <x:c r="BC20" t="str">
        <x:f>IF(AY20&lt;&gt;"YES","",IF(ISNUMBER(SEARCH("Quote Sent",P20)),"Follow up quote approval weekly + add JC comment",IF(ISNUMBER(SEARCH("Awaiting install",P20)),"Confirm install date/ETA + update JC",IF(ISNUMBER(SEARCH("Schedule",P20)),"Schedule/confirm tech action",IF(AZ20="YES",IF(N20&lt;=2,"Troubleshoot remotely + comment evidence",IF(N20&lt;=5,"Email/call client + record who/when/outcome","Escalate to Lindy + agree action plan")),"Check current status + add clear JC comment")))))</x:f>
        <x:v>Follow up quote approval weekly + add JC comment</x:v>
      </x:c>
      <x:c r="BD20" t="n">
        <x:f>IF(AZ20="YES",6-N20,"")</x:f>
        <x:v>-63</x:v>
      </x:c>
      <x:c r="BE20" t="str">
        <x:f>IF(AY20="YES","Comment must show: date, contact person, method, outcome, next action","")</x:f>
        <x:v>Comment must show: date, contact person, method, outcome, next action</x:v>
      </x:c>
      <x:c r="BF20" t="str">
        <x:f>IF(AND(AY20="YES",O20&gt;=7),"Stuck in status 7+ days","")</x:f>
        <x:v>Stuck in status 7+ days</x:v>
      </x:c>
    </x:row>
    <x:row r="21">
      <x:c r="A21" t="s">
        <x:v>109</x:v>
      </x:c>
      <x:c r="B21" t="s">
        <x:v>335</x:v>
      </x:c>
      <x:c r="C21" t="s">
        <x:v>336</x:v>
      </x:c>
      <x:c r="D21" t="s">
        <x:v>337</x:v>
      </x:c>
      <x:c r="E21" t="s">
        <x:v>54</x:v>
      </x:c>
      <x:c r="F21" t="s">
        <x:v>338</x:v>
      </x:c>
      <x:c r="G21" t="s">
        <x:v>339</x:v>
      </x:c>
      <x:c r="H21" t="s">
        <x:v>340</x:v>
      </x:c>
      <x:c r="I21" t="s">
        <x:v>57</x:v>
      </x:c>
      <x:c r="J21" t="s">
        <x:v>341</x:v>
      </x:c>
      <x:c r="K21" t="s">
        <x:v>54</x:v>
      </x:c>
      <x:c r="L21" t="s">
        <x:v>342</x:v>
      </x:c>
      <x:c r="M21" t="s">
        <x:v>343</x:v>
      </x:c>
      <x:c r="N21">
        <x:v>69</x:v>
      </x:c>
      <x:c r="O21">
        <x:v>6</x:v>
      </x:c>
      <x:c r="P21" t="s">
        <x:v>344</x:v>
      </x:c>
      <x:c r="Q21" t="s">
        <x:v>345</x:v>
      </x:c>
      <x:c r="R21" t="s">
        <x:v>54</x:v>
      </x:c>
      <x:c r="S21" t="s">
        <x:v>54</x:v>
      </x:c>
      <x:c r="T21" t="s">
        <x:v>54</x:v>
      </x:c>
      <x:c r="U21" t="s">
        <x:v>346</x:v>
      </x:c>
      <x:c r="V21" t="s">
        <x:v>54</x:v>
      </x:c>
      <x:c r="W21" t="s">
        <x:v>54</x:v>
      </x:c>
      <x:c r="X21" t="s">
        <x:v>54</x:v>
      </x:c>
      <x:c r="Y21" t="s">
        <x:v>347</x:v>
      </x:c>
      <x:c r="Z21" t="s">
        <x:v>348</x:v>
      </x:c>
      <x:c r="AA21" t="s">
        <x:v>349</x:v>
      </x:c>
      <x:c r="AB21" t="s">
        <x:v>85</x:v>
      </x:c>
      <x:c r="AC21" t="s">
        <x:v>350</x:v>
      </x:c>
      <x:c r="AD21" t="s">
        <x:v>54</x:v>
      </x:c>
      <x:c r="AE21" t="s">
        <x:v>54</x:v>
      </x:c>
      <x:c r="AF21" t="s">
        <x:v>54</x:v>
      </x:c>
      <x:c r="AG21" t="s">
        <x:v>351</x:v>
      </x:c>
      <x:c r="AH21" t="s">
        <x:v>54</x:v>
      </x:c>
      <x:c r="AI21" t="s">
        <x:v>54</x:v>
      </x:c>
      <x:c r="AJ21" t="s">
        <x:v>54</x:v>
      </x:c>
      <x:c r="AK21" t="s">
        <x:v>54</x:v>
      </x:c>
      <x:c r="AL21" t="s">
        <x:v>54</x:v>
      </x:c>
      <x:c r="AM21" t="s">
        <x:v>352</x:v>
      </x:c>
      <x:c r="AN21" t="s">
        <x:v>353</x:v>
      </x:c>
      <x:c r="AO21" t="s">
        <x:v>54</x:v>
      </x:c>
      <x:c r="AP21" t="s">
        <x:v>54</x:v>
      </x:c>
      <x:c r="AQ21" t="b">
        <x:v>0</x:v>
      </x:c>
      <x:c r="AR21" t="s">
        <x:v>354</x:v>
      </x:c>
      <x:c r="AS21" t="s">
        <x:v>54</x:v>
      </x:c>
      <x:c r="AT21" t="s">
        <x:v>73</x:v>
      </x:c>
      <x:c r="AU21" t="s">
        <x:v>343</x:v>
      </x:c>
      <x:c r="AV21" t="s">
        <x:v>75</x:v>
      </x:c>
      <x:c r="AW21" t="s">
        <x:v>88</x:v>
      </x:c>
      <x:c r="AX21" t="s">
        <x:v>345</x:v>
      </x:c>
      <x:c r="AY21" t="str">
        <x:f>IF(AND(ISNUMBER(SEARCH("Donovan",AC21)),OR(AT21=TRUE,AT21="TRUE"),OR(AQ21=FALSE,AQ21="FALSE")),"YES","NO")</x:f>
        <x:v>YES</x:v>
      </x:c>
      <x:c r="AZ21" t="str">
        <x:f>IF(AND(AY21="YES",LEFT(I21,2)="FF"),"YES","NO")</x:f>
        <x:v>YES</x:v>
      </x:c>
      <x:c r="BA21" t="str">
        <x:f>IF(AZ21&lt;&gt;"YES","Not FF focus",IF(N21&lt;=2,"0-2 Remote Window",IF(N21&lt;=5,"3-5 Client Follow-up",IF(N21=6,"Day 6 Escalate","7+ Overdue"))))</x:f>
        <x:v>7+ Overdue</x:v>
      </x:c>
      <x:c r="BB21" t="str">
        <x:f>IF(AZ21&lt;&gt;"YES","Excluded",IF(N21&lt;=2,"On Track",IF(N21&lt;=5,"Warning",IF(N21=6,"Escalate Today","Overdue"))))</x:f>
        <x:v>Overdue</x:v>
      </x:c>
      <x:c r="BC21" t="str">
        <x:f>IF(AY21&lt;&gt;"YES","",IF(ISNUMBER(SEARCH("Quote Sent",P21)),"Follow up quote approval weekly + add JC comment",IF(ISNUMBER(SEARCH("Awaiting install",P21)),"Confirm install date/ETA + update JC",IF(ISNUMBER(SEARCH("Schedule",P21)),"Schedule/confirm tech action",IF(AZ21="YES",IF(N21&lt;=2,"Troubleshoot remotely + comment evidence",IF(N21&lt;=5,"Email/call client + record who/when/outcome","Escalate to Lindy + agree action plan")),"Check current status + add clear JC comment")))))</x:f>
        <x:v>Escalate to Lindy + agree action plan</x:v>
      </x:c>
      <x:c r="BD21" t="n">
        <x:f>IF(AZ21="YES",6-N21,"")</x:f>
        <x:v>-63</x:v>
      </x:c>
      <x:c r="BE21" t="str">
        <x:f>IF(AY21="YES","Comment must show: date, contact person, method, outcome, next action","")</x:f>
        <x:v>Comment must show: date, contact person, method, outcome, next action</x:v>
      </x:c>
      <x:c r="BF21" t="str">
        <x:f>IF(AND(AY21="YES",O21&gt;=7),"Stuck in status 7+ days","")</x:f>
      </x:c>
    </x:row>
    <x:row r="22">
      <x:c r="A22" t="s">
        <x:v>109</x:v>
      </x:c>
      <x:c r="B22" t="s">
        <x:v>355</x:v>
      </x:c>
      <x:c r="C22" t="s">
        <x:v>356</x:v>
      </x:c>
      <x:c r="D22" t="s">
        <x:v>357</x:v>
      </x:c>
      <x:c r="E22" t="s">
        <x:v>54</x:v>
      </x:c>
      <x:c r="F22" t="s">
        <x:v>358</x:v>
      </x:c>
      <x:c r="G22" t="s">
        <x:v>359</x:v>
      </x:c>
      <x:c r="H22" t="s">
        <x:v>54</x:v>
      </x:c>
      <x:c r="I22" t="s">
        <x:v>115</x:v>
      </x:c>
      <x:c r="J22" t="s">
        <x:v>360</x:v>
      </x:c>
      <x:c r="K22" t="s">
        <x:v>54</x:v>
      </x:c>
      <x:c r="L22" t="s">
        <x:v>361</x:v>
      </x:c>
      <x:c r="M22" t="s">
        <x:v>362</x:v>
      </x:c>
      <x:c r="N22">
        <x:v>69</x:v>
      </x:c>
      <x:c r="O22">
        <x:v>2</x:v>
      </x:c>
      <x:c r="P22" t="s">
        <x:v>363</x:v>
      </x:c>
      <x:c r="Q22" t="s">
        <x:v>364</x:v>
      </x:c>
      <x:c r="R22" t="s">
        <x:v>54</x:v>
      </x:c>
      <x:c r="S22" t="s">
        <x:v>54</x:v>
      </x:c>
      <x:c r="T22" t="s">
        <x:v>54</x:v>
      </x:c>
      <x:c r="U22" t="s">
        <x:v>365</x:v>
      </x:c>
      <x:c r="V22" t="s">
        <x:v>54</x:v>
      </x:c>
      <x:c r="W22" t="s">
        <x:v>54</x:v>
      </x:c>
      <x:c r="X22" t="s">
        <x:v>54</x:v>
      </x:c>
      <x:c r="Y22" t="s">
        <x:v>366</x:v>
      </x:c>
      <x:c r="Z22" t="s">
        <x:v>367</x:v>
      </x:c>
      <x:c r="AA22" t="s">
        <x:v>368</x:v>
      </x:c>
      <x:c r="AB22" t="s">
        <x:v>369</x:v>
      </x:c>
      <x:c r="AC22" t="s">
        <x:v>68</x:v>
      </x:c>
      <x:c r="AD22" t="s">
        <x:v>54</x:v>
      </x:c>
      <x:c r="AE22" t="s">
        <x:v>54</x:v>
      </x:c>
      <x:c r="AF22" t="s">
        <x:v>54</x:v>
      </x:c>
      <x:c r="AG22" t="s">
        <x:v>54</x:v>
      </x:c>
      <x:c r="AH22" t="s">
        <x:v>54</x:v>
      </x:c>
      <x:c r="AI22" t="s">
        <x:v>54</x:v>
      </x:c>
      <x:c r="AJ22" t="s">
        <x:v>54</x:v>
      </x:c>
      <x:c r="AK22" t="s">
        <x:v>54</x:v>
      </x:c>
      <x:c r="AL22" t="s">
        <x:v>54</x:v>
      </x:c>
      <x:c r="AM22" t="s">
        <x:v>54</x:v>
      </x:c>
      <x:c r="AN22" t="s">
        <x:v>54</x:v>
      </x:c>
      <x:c r="AO22" t="s">
        <x:v>54</x:v>
      </x:c>
      <x:c r="AP22" t="s">
        <x:v>54</x:v>
      </x:c>
      <x:c r="AQ22" t="b">
        <x:v>0</x:v>
      </x:c>
      <x:c r="AR22" t="s">
        <x:v>370</x:v>
      </x:c>
      <x:c r="AS22" t="s">
        <x:v>54</x:v>
      </x:c>
      <x:c r="AT22" t="s">
        <x:v>73</x:v>
      </x:c>
      <x:c r="AU22" t="s">
        <x:v>371</x:v>
      </x:c>
      <x:c r="AV22" t="s">
        <x:v>88</x:v>
      </x:c>
      <x:c r="AW22" t="s">
        <x:v>155</x:v>
      </x:c>
      <x:c r="AX22" t="s">
        <x:v>372</x:v>
      </x:c>
      <x:c r="AY22" t="str">
        <x:f>IF(AND(ISNUMBER(SEARCH("Donovan",AC22)),OR(AT22=TRUE,AT22="TRUE"),OR(AQ22=FALSE,AQ22="FALSE")),"YES","NO")</x:f>
        <x:v>YES</x:v>
      </x:c>
      <x:c r="AZ22" t="str">
        <x:f>IF(AND(AY22="YES",LEFT(I22,2)="FF"),"YES","NO")</x:f>
        <x:v>NO</x:v>
      </x:c>
      <x:c r="BA22" t="str">
        <x:f>IF(AZ22&lt;&gt;"YES","Not FF focus",IF(N22&lt;=2,"0-2 Remote Window",IF(N22&lt;=5,"3-5 Client Follow-up",IF(N22=6,"Day 6 Escalate","7+ Overdue"))))</x:f>
        <x:v>Not FF focus</x:v>
      </x:c>
      <x:c r="BB22" t="str">
        <x:f>IF(AZ22&lt;&gt;"YES","Excluded",IF(N22&lt;=2,"On Track",IF(N22&lt;=5,"Warning",IF(N22=6,"Escalate Today","Overdue"))))</x:f>
        <x:v>Excluded</x:v>
      </x:c>
      <x:c r="BC22" t="str">
        <x:f>IF(AY22&lt;&gt;"YES","",IF(ISNUMBER(SEARCH("Quote Sent",P22)),"Follow up quote approval weekly + add JC comment",IF(ISNUMBER(SEARCH("Awaiting install",P22)),"Confirm install date/ETA + update JC",IF(ISNUMBER(SEARCH("Schedule",P22)),"Schedule/confirm tech action",IF(AZ22="YES",IF(N22&lt;=2,"Troubleshoot remotely + comment evidence",IF(N22&lt;=5,"Email/call client + record who/when/outcome","Escalate to Lindy + agree action plan")),"Check current status + add clear JC comment")))))</x:f>
        <x:v>Schedule/confirm tech action</x:v>
      </x:c>
      <x:c r="BD22" t="str">
        <x:f>IF(AZ22="YES",6-N22,"")</x:f>
      </x:c>
      <x:c r="BE22" t="str">
        <x:f>IF(AY22="YES","Comment must show: date, contact person, method, outcome, next action","")</x:f>
        <x:v>Comment must show: date, contact person, method, outcome, next action</x:v>
      </x:c>
      <x:c r="BF22" t="str">
        <x:f>IF(AND(AY22="YES",O22&gt;=7),"Stuck in status 7+ days","")</x:f>
      </x:c>
    </x:row>
    <x:row r="23">
      <x:c r="A23" t="s">
        <x:v>109</x:v>
      </x:c>
      <x:c r="B23" t="s">
        <x:v>373</x:v>
      </x:c>
      <x:c r="C23" t="s">
        <x:v>336</x:v>
      </x:c>
      <x:c r="D23" t="s">
        <x:v>337</x:v>
      </x:c>
      <x:c r="E23" t="s">
        <x:v>54</x:v>
      </x:c>
      <x:c r="F23" t="s">
        <x:v>338</x:v>
      </x:c>
      <x:c r="G23" t="s">
        <x:v>339</x:v>
      </x:c>
      <x:c r="H23" t="s">
        <x:v>340</x:v>
      </x:c>
      <x:c r="I23" t="s">
        <x:v>95</x:v>
      </x:c>
      <x:c r="J23" t="s">
        <x:v>374</x:v>
      </x:c>
      <x:c r="K23" t="s">
        <x:v>54</x:v>
      </x:c>
      <x:c r="L23" t="s">
        <x:v>342</x:v>
      </x:c>
      <x:c r="M23" t="s">
        <x:v>375</x:v>
      </x:c>
      <x:c r="N23">
        <x:v>59</x:v>
      </x:c>
      <x:c r="O23">
        <x:v>2</x:v>
      </x:c>
      <x:c r="P23" t="s">
        <x:v>376</x:v>
      </x:c>
      <x:c r="Q23" t="s">
        <x:v>377</x:v>
      </x:c>
      <x:c r="R23" t="s">
        <x:v>54</x:v>
      </x:c>
      <x:c r="S23" t="s">
        <x:v>54</x:v>
      </x:c>
      <x:c r="T23" t="s">
        <x:v>54</x:v>
      </x:c>
      <x:c r="U23" t="s">
        <x:v>54</x:v>
      </x:c>
      <x:c r="V23" t="s">
        <x:v>54</x:v>
      </x:c>
      <x:c r="W23" t="s">
        <x:v>54</x:v>
      </x:c>
      <x:c r="X23" t="s">
        <x:v>54</x:v>
      </x:c>
      <x:c r="Y23" t="s">
        <x:v>378</x:v>
      </x:c>
      <x:c r="Z23" t="s">
        <x:v>379</x:v>
      </x:c>
      <x:c r="AA23" t="s">
        <x:v>380</x:v>
      </x:c>
      <x:c r="AB23" t="s">
        <x:v>54</x:v>
      </x:c>
      <x:c r="AC23" t="s">
        <x:v>329</x:v>
      </x:c>
      <x:c r="AD23" t="s">
        <x:v>54</x:v>
      </x:c>
      <x:c r="AE23" t="s">
        <x:v>54</x:v>
      </x:c>
      <x:c r="AF23" t="s">
        <x:v>54</x:v>
      </x:c>
      <x:c r="AG23" t="s">
        <x:v>381</x:v>
      </x:c>
      <x:c r="AH23" t="s">
        <x:v>54</x:v>
      </x:c>
      <x:c r="AI23" t="s">
        <x:v>54</x:v>
      </x:c>
      <x:c r="AJ23" t="s">
        <x:v>54</x:v>
      </x:c>
      <x:c r="AK23" t="s">
        <x:v>54</x:v>
      </x:c>
      <x:c r="AL23" t="s">
        <x:v>54</x:v>
      </x:c>
      <x:c r="AM23" t="s">
        <x:v>382</x:v>
      </x:c>
      <x:c r="AN23" t="s">
        <x:v>383</x:v>
      </x:c>
      <x:c r="AO23" t="s">
        <x:v>54</x:v>
      </x:c>
      <x:c r="AP23" t="s">
        <x:v>54</x:v>
      </x:c>
      <x:c r="AQ23" t="b">
        <x:v>0</x:v>
      </x:c>
      <x:c r="AR23" t="s">
        <x:v>384</x:v>
      </x:c>
      <x:c r="AS23" t="s">
        <x:v>54</x:v>
      </x:c>
      <x:c r="AT23" t="s">
        <x:v>73</x:v>
      </x:c>
      <x:c r="AU23" t="s">
        <x:v>375</x:v>
      </x:c>
      <x:c r="AV23" t="s">
        <x:v>75</x:v>
      </x:c>
      <x:c r="AW23" t="s">
        <x:v>88</x:v>
      </x:c>
      <x:c r="AX23" t="s">
        <x:v>385</x:v>
      </x:c>
      <x:c r="AY23" t="str">
        <x:f>IF(AND(ISNUMBER(SEARCH("Donovan",AC23)),OR(AT23=TRUE,AT23="TRUE"),OR(AQ23=FALSE,AQ23="FALSE")),"YES","NO")</x:f>
        <x:v>YES</x:v>
      </x:c>
      <x:c r="AZ23" t="str">
        <x:f>IF(AND(AY23="YES",LEFT(I23,2)="FF"),"YES","NO")</x:f>
        <x:v>YES</x:v>
      </x:c>
      <x:c r="BA23" t="str">
        <x:f>IF(AZ23&lt;&gt;"YES","Not FF focus",IF(N23&lt;=2,"0-2 Remote Window",IF(N23&lt;=5,"3-5 Client Follow-up",IF(N23=6,"Day 6 Escalate","7+ Overdue"))))</x:f>
        <x:v>7+ Overdue</x:v>
      </x:c>
      <x:c r="BB23" t="str">
        <x:f>IF(AZ23&lt;&gt;"YES","Excluded",IF(N23&lt;=2,"On Track",IF(N23&lt;=5,"Warning",IF(N23=6,"Escalate Today","Overdue"))))</x:f>
        <x:v>Overdue</x:v>
      </x:c>
      <x:c r="BC23" t="str">
        <x:f>IF(AY23&lt;&gt;"YES","",IF(ISNUMBER(SEARCH("Quote Sent",P23)),"Follow up quote approval weekly + add JC comment",IF(ISNUMBER(SEARCH("Awaiting install",P23)),"Confirm install date/ETA + update JC",IF(ISNUMBER(SEARCH("Schedule",P23)),"Schedule/confirm tech action",IF(AZ23="YES",IF(N23&lt;=2,"Troubleshoot remotely + comment evidence",IF(N23&lt;=5,"Email/call client + record who/when/outcome","Escalate to Lindy + agree action plan")),"Check current status + add clear JC comment")))))</x:f>
        <x:v>Escalate to Lindy + agree action plan</x:v>
      </x:c>
      <x:c r="BD23" t="n">
        <x:f>IF(AZ23="YES",6-N23,"")</x:f>
        <x:v>-53</x:v>
      </x:c>
      <x:c r="BE23" t="str">
        <x:f>IF(AY23="YES","Comment must show: date, contact person, method, outcome, next action","")</x:f>
        <x:v>Comment must show: date, contact person, method, outcome, next action</x:v>
      </x:c>
      <x:c r="BF23" t="str">
        <x:f>IF(AND(AY23="YES",O23&gt;=7),"Stuck in status 7+ days","")</x:f>
      </x:c>
    </x:row>
    <x:row r="24">
      <x:c r="A24" t="s">
        <x:v>109</x:v>
      </x:c>
      <x:c r="B24" t="s">
        <x:v>386</x:v>
      </x:c>
      <x:c r="C24" t="s">
        <x:v>387</x:v>
      </x:c>
      <x:c r="D24" t="s">
        <x:v>388</x:v>
      </x:c>
      <x:c r="E24" t="s">
        <x:v>54</x:v>
      </x:c>
      <x:c r="F24" t="s">
        <x:v>389</x:v>
      </x:c>
      <x:c r="G24" t="s">
        <x:v>390</x:v>
      </x:c>
      <x:c r="H24" t="s">
        <x:v>391</x:v>
      </x:c>
      <x:c r="I24" t="s">
        <x:v>142</x:v>
      </x:c>
      <x:c r="J24" t="s">
        <x:v>392</x:v>
      </x:c>
      <x:c r="K24" t="s">
        <x:v>54</x:v>
      </x:c>
      <x:c r="L24" t="s">
        <x:v>393</x:v>
      </x:c>
      <x:c r="M24" t="s">
        <x:v>394</x:v>
      </x:c>
      <x:c r="N24">
        <x:v>58</x:v>
      </x:c>
      <x:c r="O24">
        <x:v>3</x:v>
      </x:c>
      <x:c r="P24" t="s">
        <x:v>146</x:v>
      </x:c>
      <x:c r="Q24" t="s">
        <x:v>395</x:v>
      </x:c>
      <x:c r="R24" t="s">
        <x:v>54</x:v>
      </x:c>
      <x:c r="S24" t="s">
        <x:v>54</x:v>
      </x:c>
      <x:c r="T24" t="s">
        <x:v>54</x:v>
      </x:c>
      <x:c r="U24" t="s">
        <x:v>396</x:v>
      </x:c>
      <x:c r="V24" t="s">
        <x:v>54</x:v>
      </x:c>
      <x:c r="W24" t="s">
        <x:v>54</x:v>
      </x:c>
      <x:c r="X24" t="s">
        <x:v>54</x:v>
      </x:c>
      <x:c r="Y24" t="s">
        <x:v>54</x:v>
      </x:c>
      <x:c r="Z24" t="s">
        <x:v>54</x:v>
      </x:c>
      <x:c r="AA24" t="s">
        <x:v>54</x:v>
      </x:c>
      <x:c r="AB24" t="s">
        <x:v>54</x:v>
      </x:c>
      <x:c r="AC24" t="s">
        <x:v>329</x:v>
      </x:c>
      <x:c r="AD24" t="s">
        <x:v>54</x:v>
      </x:c>
      <x:c r="AE24" t="s">
        <x:v>54</x:v>
      </x:c>
      <x:c r="AF24" t="s">
        <x:v>54</x:v>
      </x:c>
      <x:c r="AG24" t="s">
        <x:v>54</x:v>
      </x:c>
      <x:c r="AH24" t="s">
        <x:v>54</x:v>
      </x:c>
      <x:c r="AI24" t="s">
        <x:v>54</x:v>
      </x:c>
      <x:c r="AJ24" t="s">
        <x:v>54</x:v>
      </x:c>
      <x:c r="AK24" t="s">
        <x:v>54</x:v>
      </x:c>
      <x:c r="AL24" t="s">
        <x:v>54</x:v>
      </x:c>
      <x:c r="AM24" t="s">
        <x:v>54</x:v>
      </x:c>
      <x:c r="AN24" t="s">
        <x:v>54</x:v>
      </x:c>
      <x:c r="AO24" t="s">
        <x:v>54</x:v>
      </x:c>
      <x:c r="AP24" t="s">
        <x:v>54</x:v>
      </x:c>
      <x:c r="AQ24" t="b">
        <x:v>0</x:v>
      </x:c>
      <x:c r="AR24" t="s">
        <x:v>397</x:v>
      </x:c>
      <x:c r="AS24" t="s">
        <x:v>54</x:v>
      </x:c>
      <x:c r="AT24" t="s">
        <x:v>73</x:v>
      </x:c>
      <x:c r="AU24" t="s">
        <x:v>398</x:v>
      </x:c>
      <x:c r="AV24" t="s">
        <x:v>88</x:v>
      </x:c>
      <x:c r="AW24" t="s">
        <x:v>155</x:v>
      </x:c>
      <x:c r="AX24" t="s">
        <x:v>395</x:v>
      </x:c>
      <x:c r="AY24" t="str">
        <x:f>IF(AND(ISNUMBER(SEARCH("Donovan",AC24)),OR(AT24=TRUE,AT24="TRUE"),OR(AQ24=FALSE,AQ24="FALSE")),"YES","NO")</x:f>
        <x:v>YES</x:v>
      </x:c>
      <x:c r="AZ24" t="str">
        <x:f>IF(AND(AY24="YES",LEFT(I24,2)="FF"),"YES","NO")</x:f>
        <x:v>NO</x:v>
      </x:c>
      <x:c r="BA24" t="str">
        <x:f>IF(AZ24&lt;&gt;"YES","Not FF focus",IF(N24&lt;=2,"0-2 Remote Window",IF(N24&lt;=5,"3-5 Client Follow-up",IF(N24=6,"Day 6 Escalate","7+ Overdue"))))</x:f>
        <x:v>Not FF focus</x:v>
      </x:c>
      <x:c r="BB24" t="str">
        <x:f>IF(AZ24&lt;&gt;"YES","Excluded",IF(N24&lt;=2,"On Track",IF(N24&lt;=5,"Warning",IF(N24=6,"Escalate Today","Overdue"))))</x:f>
        <x:v>Excluded</x:v>
      </x:c>
      <x:c r="BC24" t="str">
        <x:f>IF(AY24&lt;&gt;"YES","",IF(ISNUMBER(SEARCH("Quote Sent",P24)),"Follow up quote approval weekly + add JC comment",IF(ISNUMBER(SEARCH("Awaiting install",P24)),"Confirm install date/ETA + update JC",IF(ISNUMBER(SEARCH("Schedule",P24)),"Schedule/confirm tech action",IF(AZ24="YES",IF(N24&lt;=2,"Troubleshoot remotely + comment evidence",IF(N24&lt;=5,"Email/call client + record who/when/outcome","Escalate to Lindy + agree action plan")),"Check current status + add clear JC comment")))))</x:f>
        <x:v>Follow up quote approval weekly + add JC comment</x:v>
      </x:c>
      <x:c r="BD24" t="str">
        <x:f>IF(AZ24="YES",6-N24,"")</x:f>
      </x:c>
      <x:c r="BE24" t="str">
        <x:f>IF(AY24="YES","Comment must show: date, contact person, method, outcome, next action","")</x:f>
        <x:v>Comment must show: date, contact person, method, outcome, next action</x:v>
      </x:c>
      <x:c r="BF24" t="str">
        <x:f>IF(AND(AY24="YES",O24&gt;=7),"Stuck in status 7+ days","")</x:f>
      </x:c>
    </x:row>
    <x:row r="25">
      <x:c r="A25" t="s">
        <x:v>109</x:v>
      </x:c>
      <x:c r="B25" t="s">
        <x:v>399</x:v>
      </x:c>
      <x:c r="C25" t="s">
        <x:v>387</x:v>
      </x:c>
      <x:c r="D25" t="s">
        <x:v>388</x:v>
      </x:c>
      <x:c r="E25" t="s">
        <x:v>54</x:v>
      </x:c>
      <x:c r="F25" t="s">
        <x:v>389</x:v>
      </x:c>
      <x:c r="G25" t="s">
        <x:v>390</x:v>
      </x:c>
      <x:c r="H25" t="s">
        <x:v>391</x:v>
      </x:c>
      <x:c r="I25" t="s">
        <x:v>255</x:v>
      </x:c>
      <x:c r="J25" t="s">
        <x:v>400</x:v>
      </x:c>
      <x:c r="K25" t="s">
        <x:v>54</x:v>
      </x:c>
      <x:c r="L25" t="s">
        <x:v>393</x:v>
      </x:c>
      <x:c r="M25" t="s">
        <x:v>401</x:v>
      </x:c>
      <x:c r="N25">
        <x:v>58</x:v>
      </x:c>
      <x:c r="O25">
        <x:v>3</x:v>
      </x:c>
      <x:c r="P25" t="s">
        <x:v>146</x:v>
      </x:c>
      <x:c r="Q25" t="s">
        <x:v>402</x:v>
      </x:c>
      <x:c r="R25" t="s">
        <x:v>54</x:v>
      </x:c>
      <x:c r="S25" t="s">
        <x:v>54</x:v>
      </x:c>
      <x:c r="T25" t="s">
        <x:v>54</x:v>
      </x:c>
      <x:c r="U25" t="s">
        <x:v>54</x:v>
      </x:c>
      <x:c r="V25" t="s">
        <x:v>54</x:v>
      </x:c>
      <x:c r="W25" t="s">
        <x:v>54</x:v>
      </x:c>
      <x:c r="X25" t="s">
        <x:v>54</x:v>
      </x:c>
      <x:c r="Y25" t="s">
        <x:v>54</x:v>
      </x:c>
      <x:c r="Z25" t="s">
        <x:v>54</x:v>
      </x:c>
      <x:c r="AA25" t="s">
        <x:v>54</x:v>
      </x:c>
      <x:c r="AB25" t="s">
        <x:v>54</x:v>
      </x:c>
      <x:c r="AC25" t="s">
        <x:v>329</x:v>
      </x:c>
      <x:c r="AD25" t="s">
        <x:v>54</x:v>
      </x:c>
      <x:c r="AE25" t="s">
        <x:v>54</x:v>
      </x:c>
      <x:c r="AF25" t="s">
        <x:v>54</x:v>
      </x:c>
      <x:c r="AG25" t="s">
        <x:v>54</x:v>
      </x:c>
      <x:c r="AH25" t="s">
        <x:v>54</x:v>
      </x:c>
      <x:c r="AI25" t="s">
        <x:v>54</x:v>
      </x:c>
      <x:c r="AJ25" t="s">
        <x:v>54</x:v>
      </x:c>
      <x:c r="AK25" t="s">
        <x:v>54</x:v>
      </x:c>
      <x:c r="AL25" t="s">
        <x:v>54</x:v>
      </x:c>
      <x:c r="AM25" t="s">
        <x:v>54</x:v>
      </x:c>
      <x:c r="AN25" t="s">
        <x:v>54</x:v>
      </x:c>
      <x:c r="AO25" t="s">
        <x:v>54</x:v>
      </x:c>
      <x:c r="AP25" t="s">
        <x:v>54</x:v>
      </x:c>
      <x:c r="AQ25" t="b">
        <x:v>0</x:v>
      </x:c>
      <x:c r="AR25" t="s">
        <x:v>397</x:v>
      </x:c>
      <x:c r="AS25" t="s">
        <x:v>54</x:v>
      </x:c>
      <x:c r="AT25" t="s">
        <x:v>73</x:v>
      </x:c>
      <x:c r="AU25" t="s">
        <x:v>401</x:v>
      </x:c>
      <x:c r="AV25" t="s">
        <x:v>88</x:v>
      </x:c>
      <x:c r="AW25" t="s">
        <x:v>155</x:v>
      </x:c>
      <x:c r="AX25" t="s">
        <x:v>402</x:v>
      </x:c>
      <x:c r="AY25" t="str">
        <x:f>IF(AND(ISNUMBER(SEARCH("Donovan",AC25)),OR(AT25=TRUE,AT25="TRUE"),OR(AQ25=FALSE,AQ25="FALSE")),"YES","NO")</x:f>
        <x:v>YES</x:v>
      </x:c>
      <x:c r="AZ25" t="str">
        <x:f>IF(AND(AY25="YES",LEFT(I25,2)="FF"),"YES","NO")</x:f>
        <x:v>NO</x:v>
      </x:c>
      <x:c r="BA25" t="str">
        <x:f>IF(AZ25&lt;&gt;"YES","Not FF focus",IF(N25&lt;=2,"0-2 Remote Window",IF(N25&lt;=5,"3-5 Client Follow-up",IF(N25=6,"Day 6 Escalate","7+ Overdue"))))</x:f>
        <x:v>Not FF focus</x:v>
      </x:c>
      <x:c r="BB25" t="str">
        <x:f>IF(AZ25&lt;&gt;"YES","Excluded",IF(N25&lt;=2,"On Track",IF(N25&lt;=5,"Warning",IF(N25=6,"Escalate Today","Overdue"))))</x:f>
        <x:v>Excluded</x:v>
      </x:c>
      <x:c r="BC25" t="str">
        <x:f>IF(AY25&lt;&gt;"YES","",IF(ISNUMBER(SEARCH("Quote Sent",P25)),"Follow up quote approval weekly + add JC comment",IF(ISNUMBER(SEARCH("Awaiting install",P25)),"Confirm install date/ETA + update JC",IF(ISNUMBER(SEARCH("Schedule",P25)),"Schedule/confirm tech action",IF(AZ25="YES",IF(N25&lt;=2,"Troubleshoot remotely + comment evidence",IF(N25&lt;=5,"Email/call client + record who/when/outcome","Escalate to Lindy + agree action plan")),"Check current status + add clear JC comment")))))</x:f>
        <x:v>Follow up quote approval weekly + add JC comment</x:v>
      </x:c>
      <x:c r="BD25" t="str">
        <x:f>IF(AZ25="YES",6-N25,"")</x:f>
      </x:c>
      <x:c r="BE25" t="str">
        <x:f>IF(AY25="YES","Comment must show: date, contact person, method, outcome, next action","")</x:f>
        <x:v>Comment must show: date, contact person, method, outcome, next action</x:v>
      </x:c>
      <x:c r="BF25" t="str">
        <x:f>IF(AND(AY25="YES",O25&gt;=7),"Stuck in status 7+ days","")</x:f>
      </x:c>
    </x:row>
    <x:row r="26">
      <x:c r="A26" t="s">
        <x:v>109</x:v>
      </x:c>
      <x:c r="B26" t="s">
        <x:v>403</x:v>
      </x:c>
      <x:c r="C26" t="s">
        <x:v>404</x:v>
      </x:c>
      <x:c r="D26" t="s">
        <x:v>405</x:v>
      </x:c>
      <x:c r="E26" t="s">
        <x:v>54</x:v>
      </x:c>
      <x:c r="F26" t="s">
        <x:v>406</x:v>
      </x:c>
      <x:c r="G26" t="s">
        <x:v>407</x:v>
      </x:c>
      <x:c r="H26" t="s">
        <x:v>408</x:v>
      </x:c>
      <x:c r="I26" t="s">
        <x:v>409</x:v>
      </x:c>
      <x:c r="J26" t="s">
        <x:v>410</x:v>
      </x:c>
      <x:c r="K26" t="s">
        <x:v>54</x:v>
      </x:c>
      <x:c r="L26" t="s">
        <x:v>411</x:v>
      </x:c>
      <x:c r="M26" t="s">
        <x:v>412</x:v>
      </x:c>
      <x:c r="N26">
        <x:v>57</x:v>
      </x:c>
      <x:c r="O26">
        <x:v>0</x:v>
      </x:c>
      <x:c r="P26" t="s">
        <x:v>413</x:v>
      </x:c>
      <x:c r="Q26" t="s">
        <x:v>414</x:v>
      </x:c>
      <x:c r="R26" t="s">
        <x:v>54</x:v>
      </x:c>
      <x:c r="S26" t="s">
        <x:v>54</x:v>
      </x:c>
      <x:c r="T26" t="s">
        <x:v>54</x:v>
      </x:c>
      <x:c r="U26" t="s">
        <x:v>54</x:v>
      </x:c>
      <x:c r="V26" t="s">
        <x:v>54</x:v>
      </x:c>
      <x:c r="W26" t="s">
        <x:v>54</x:v>
      </x:c>
      <x:c r="X26" t="s">
        <x:v>54</x:v>
      </x:c>
      <x:c r="Y26" t="s">
        <x:v>415</x:v>
      </x:c>
      <x:c r="Z26" t="s">
        <x:v>416</x:v>
      </x:c>
      <x:c r="AA26" t="s">
        <x:v>417</x:v>
      </x:c>
      <x:c r="AB26" t="s">
        <x:v>54</x:v>
      </x:c>
      <x:c r="AC26" t="s">
        <x:v>68</x:v>
      </x:c>
      <x:c r="AD26" t="s">
        <x:v>54</x:v>
      </x:c>
      <x:c r="AE26" t="s">
        <x:v>54</x:v>
      </x:c>
      <x:c r="AF26" t="s">
        <x:v>54</x:v>
      </x:c>
      <x:c r="AG26" t="s">
        <x:v>418</x:v>
      </x:c>
      <x:c r="AH26" t="s">
        <x:v>54</x:v>
      </x:c>
      <x:c r="AI26" t="s">
        <x:v>54</x:v>
      </x:c>
      <x:c r="AJ26" t="s">
        <x:v>54</x:v>
      </x:c>
      <x:c r="AK26" t="s">
        <x:v>54</x:v>
      </x:c>
      <x:c r="AL26" t="s">
        <x:v>54</x:v>
      </x:c>
      <x:c r="AM26" t="s">
        <x:v>419</x:v>
      </x:c>
      <x:c r="AN26" t="s">
        <x:v>383</x:v>
      </x:c>
      <x:c r="AO26" t="s">
        <x:v>54</x:v>
      </x:c>
      <x:c r="AP26" t="s">
        <x:v>54</x:v>
      </x:c>
      <x:c r="AQ26" t="b">
        <x:v>0</x:v>
      </x:c>
      <x:c r="AR26" t="s">
        <x:v>420</x:v>
      </x:c>
      <x:c r="AS26" t="s">
        <x:v>54</x:v>
      </x:c>
      <x:c r="AT26" t="s">
        <x:v>73</x:v>
      </x:c>
      <x:c r="AU26" t="s">
        <x:v>421</x:v>
      </x:c>
      <x:c r="AV26" t="s">
        <x:v>75</x:v>
      </x:c>
      <x:c r="AW26" t="s">
        <x:v>422</x:v>
      </x:c>
      <x:c r="AX26" t="s">
        <x:v>423</x:v>
      </x:c>
      <x:c r="AY26" t="str">
        <x:f>IF(AND(ISNUMBER(SEARCH("Donovan",AC26)),OR(AT26=TRUE,AT26="TRUE"),OR(AQ26=FALSE,AQ26="FALSE")),"YES","NO")</x:f>
        <x:v>YES</x:v>
      </x:c>
      <x:c r="AZ26" t="str">
        <x:f>IF(AND(AY26="YES",LEFT(I26,2)="FF"),"YES","NO")</x:f>
        <x:v>YES</x:v>
      </x:c>
      <x:c r="BA26" t="str">
        <x:f>IF(AZ26&lt;&gt;"YES","Not FF focus",IF(N26&lt;=2,"0-2 Remote Window",IF(N26&lt;=5,"3-5 Client Follow-up",IF(N26=6,"Day 6 Escalate","7+ Overdue"))))</x:f>
        <x:v>7+ Overdue</x:v>
      </x:c>
      <x:c r="BB26" t="str">
        <x:f>IF(AZ26&lt;&gt;"YES","Excluded",IF(N26&lt;=2,"On Track",IF(N26&lt;=5,"Warning",IF(N26=6,"Escalate Today","Overdue"))))</x:f>
        <x:v>Overdue</x:v>
      </x:c>
      <x:c r="BC26" t="str">
        <x:f>IF(AY26&lt;&gt;"YES","",IF(ISNUMBER(SEARCH("Quote Sent",P26)),"Follow up quote approval weekly + add JC comment",IF(ISNUMBER(SEARCH("Awaiting install",P26)),"Confirm install date/ETA + update JC",IF(ISNUMBER(SEARCH("Schedule",P26)),"Schedule/confirm tech action",IF(AZ26="YES",IF(N26&lt;=2,"Troubleshoot remotely + comment evidence",IF(N26&lt;=5,"Email/call client + record who/when/outcome","Escalate to Lindy + agree action plan")),"Check current status + add clear JC comment")))))</x:f>
        <x:v>Schedule/confirm tech action</x:v>
      </x:c>
      <x:c r="BD26" t="n">
        <x:f>IF(AZ26="YES",6-N26,"")</x:f>
        <x:v>-51</x:v>
      </x:c>
      <x:c r="BE26" t="str">
        <x:f>IF(AY26="YES","Comment must show: date, contact person, method, outcome, next action","")</x:f>
        <x:v>Comment must show: date, contact person, method, outcome, next action</x:v>
      </x:c>
      <x:c r="BF26" t="str">
        <x:f>IF(AND(AY26="YES",O26&gt;=7),"Stuck in status 7+ days","")</x:f>
      </x:c>
    </x:row>
    <x:row r="27">
      <x:c r="A27" t="s">
        <x:v>109</x:v>
      </x:c>
      <x:c r="B27" t="s">
        <x:v>424</x:v>
      </x:c>
      <x:c r="C27" t="s">
        <x:v>425</x:v>
      </x:c>
      <x:c r="D27" t="s">
        <x:v>426</x:v>
      </x:c>
      <x:c r="E27" t="s">
        <x:v>54</x:v>
      </x:c>
      <x:c r="F27" t="s">
        <x:v>427</x:v>
      </x:c>
      <x:c r="G27" t="s">
        <x:v>428</x:v>
      </x:c>
      <x:c r="H27" t="s">
        <x:v>54</x:v>
      </x:c>
      <x:c r="I27" t="s">
        <x:v>57</x:v>
      </x:c>
      <x:c r="J27" t="s">
        <x:v>429</x:v>
      </x:c>
      <x:c r="K27" t="s">
        <x:v>54</x:v>
      </x:c>
      <x:c r="L27" t="s">
        <x:v>430</x:v>
      </x:c>
      <x:c r="M27" t="s">
        <x:v>431</x:v>
      </x:c>
      <x:c r="N27">
        <x:v>56</x:v>
      </x:c>
      <x:c r="O27">
        <x:v>6</x:v>
      </x:c>
      <x:c r="P27" t="s">
        <x:v>376</x:v>
      </x:c>
      <x:c r="Q27" t="s">
        <x:v>432</x:v>
      </x:c>
      <x:c r="R27" t="s">
        <x:v>54</x:v>
      </x:c>
      <x:c r="S27" t="s">
        <x:v>54</x:v>
      </x:c>
      <x:c r="T27" t="s">
        <x:v>54</x:v>
      </x:c>
      <x:c r="U27" t="s">
        <x:v>433</x:v>
      </x:c>
      <x:c r="V27" t="s">
        <x:v>54</x:v>
      </x:c>
      <x:c r="W27" t="s">
        <x:v>54</x:v>
      </x:c>
      <x:c r="X27" t="s">
        <x:v>54</x:v>
      </x:c>
      <x:c r="Y27" t="s">
        <x:v>434</x:v>
      </x:c>
      <x:c r="Z27" t="s">
        <x:v>435</x:v>
      </x:c>
      <x:c r="AA27" t="s">
        <x:v>436</x:v>
      </x:c>
      <x:c r="AB27" t="s">
        <x:v>85</x:v>
      </x:c>
      <x:c r="AC27" t="s">
        <x:v>166</x:v>
      </x:c>
      <x:c r="AD27" t="s">
        <x:v>54</x:v>
      </x:c>
      <x:c r="AE27" t="s">
        <x:v>54</x:v>
      </x:c>
      <x:c r="AF27" t="s">
        <x:v>54</x:v>
      </x:c>
      <x:c r="AG27" t="s">
        <x:v>437</x:v>
      </x:c>
      <x:c r="AH27" t="s">
        <x:v>54</x:v>
      </x:c>
      <x:c r="AI27" t="s">
        <x:v>54</x:v>
      </x:c>
      <x:c r="AJ27" t="s">
        <x:v>54</x:v>
      </x:c>
      <x:c r="AK27" t="s">
        <x:v>54</x:v>
      </x:c>
      <x:c r="AL27" t="s">
        <x:v>54</x:v>
      </x:c>
      <x:c r="AM27" t="s">
        <x:v>438</x:v>
      </x:c>
      <x:c r="AN27" t="s">
        <x:v>439</x:v>
      </x:c>
      <x:c r="AO27" t="s">
        <x:v>54</x:v>
      </x:c>
      <x:c r="AP27" t="s">
        <x:v>54</x:v>
      </x:c>
      <x:c r="AQ27" t="b">
        <x:v>0</x:v>
      </x:c>
      <x:c r="AR27" t="s">
        <x:v>440</x:v>
      </x:c>
      <x:c r="AS27" t="s">
        <x:v>54</x:v>
      </x:c>
      <x:c r="AT27" t="s">
        <x:v>73</x:v>
      </x:c>
      <x:c r="AU27" t="s">
        <x:v>431</x:v>
      </x:c>
      <x:c r="AV27" t="s">
        <x:v>75</x:v>
      </x:c>
      <x:c r="AW27" t="s">
        <x:v>76</x:v>
      </x:c>
      <x:c r="AX27" t="s">
        <x:v>441</x:v>
      </x:c>
      <x:c r="AY27" t="str">
        <x:f>IF(AND(ISNUMBER(SEARCH("Donovan",AC27)),OR(AT27=TRUE,AT27="TRUE"),OR(AQ27=FALSE,AQ27="FALSE")),"YES","NO")</x:f>
        <x:v>YES</x:v>
      </x:c>
      <x:c r="AZ27" t="str">
        <x:f>IF(AND(AY27="YES",LEFT(I27,2)="FF"),"YES","NO")</x:f>
        <x:v>YES</x:v>
      </x:c>
      <x:c r="BA27" t="str">
        <x:f>IF(AZ27&lt;&gt;"YES","Not FF focus",IF(N27&lt;=2,"0-2 Remote Window",IF(N27&lt;=5,"3-5 Client Follow-up",IF(N27=6,"Day 6 Escalate","7+ Overdue"))))</x:f>
        <x:v>7+ Overdue</x:v>
      </x:c>
      <x:c r="BB27" t="str">
        <x:f>IF(AZ27&lt;&gt;"YES","Excluded",IF(N27&lt;=2,"On Track",IF(N27&lt;=5,"Warning",IF(N27=6,"Escalate Today","Overdue"))))</x:f>
        <x:v>Overdue</x:v>
      </x:c>
      <x:c r="BC27" t="str">
        <x:f>IF(AY27&lt;&gt;"YES","",IF(ISNUMBER(SEARCH("Quote Sent",P27)),"Follow up quote approval weekly + add JC comment",IF(ISNUMBER(SEARCH("Awaiting install",P27)),"Confirm install date/ETA + update JC",IF(ISNUMBER(SEARCH("Schedule",P27)),"Schedule/confirm tech action",IF(AZ27="YES",IF(N27&lt;=2,"Troubleshoot remotely + comment evidence",IF(N27&lt;=5,"Email/call client + record who/when/outcome","Escalate to Lindy + agree action plan")),"Check current status + add clear JC comment")))))</x:f>
        <x:v>Escalate to Lindy + agree action plan</x:v>
      </x:c>
      <x:c r="BD27" t="n">
        <x:f>IF(AZ27="YES",6-N27,"")</x:f>
        <x:v>-50</x:v>
      </x:c>
      <x:c r="BE27" t="str">
        <x:f>IF(AY27="YES","Comment must show: date, contact person, method, outcome, next action","")</x:f>
        <x:v>Comment must show: date, contact person, method, outcome, next action</x:v>
      </x:c>
      <x:c r="BF27" t="str">
        <x:f>IF(AND(AY27="YES",O27&gt;=7),"Stuck in status 7+ days","")</x:f>
      </x:c>
    </x:row>
    <x:row r="28">
      <x:c r="A28" t="s">
        <x:v>109</x:v>
      </x:c>
      <x:c r="B28" t="s">
        <x:v>442</x:v>
      </x:c>
      <x:c r="C28" t="s">
        <x:v>137</x:v>
      </x:c>
      <x:c r="D28" t="s">
        <x:v>138</x:v>
      </x:c>
      <x:c r="E28" t="s">
        <x:v>54</x:v>
      </x:c>
      <x:c r="F28" t="s">
        <x:v>443</x:v>
      </x:c>
      <x:c r="G28" t="s">
        <x:v>444</x:v>
      </x:c>
      <x:c r="H28" t="s">
        <x:v>141</x:v>
      </x:c>
      <x:c r="I28" t="s">
        <x:v>255</x:v>
      </x:c>
      <x:c r="J28" t="s">
        <x:v>445</x:v>
      </x:c>
      <x:c r="K28" t="s">
        <x:v>54</x:v>
      </x:c>
      <x:c r="L28" t="s">
        <x:v>144</x:v>
      </x:c>
      <x:c r="M28" t="s">
        <x:v>446</x:v>
      </x:c>
      <x:c r="N28">
        <x:v>56</x:v>
      </x:c>
      <x:c r="O28">
        <x:v>14</x:v>
      </x:c>
      <x:c r="P28" t="s">
        <x:v>447</x:v>
      </x:c>
      <x:c r="Q28" t="s">
        <x:v>448</x:v>
      </x:c>
      <x:c r="R28" t="s">
        <x:v>54</x:v>
      </x:c>
      <x:c r="S28" t="s">
        <x:v>54</x:v>
      </x:c>
      <x:c r="T28" t="s">
        <x:v>54</x:v>
      </x:c>
      <x:c r="U28" t="s">
        <x:v>449</x:v>
      </x:c>
      <x:c r="V28" t="s">
        <x:v>54</x:v>
      </x:c>
      <x:c r="W28" t="s">
        <x:v>54</x:v>
      </x:c>
      <x:c r="X28" t="s">
        <x:v>54</x:v>
      </x:c>
      <x:c r="Y28" t="s">
        <x:v>450</x:v>
      </x:c>
      <x:c r="Z28" t="s">
        <x:v>451</x:v>
      </x:c>
      <x:c r="AA28" t="s">
        <x:v>452</x:v>
      </x:c>
      <x:c r="AB28" t="s">
        <x:v>85</x:v>
      </x:c>
      <x:c r="AC28" t="s">
        <x:v>166</x:v>
      </x:c>
      <x:c r="AD28" t="s">
        <x:v>54</x:v>
      </x:c>
      <x:c r="AE28" t="s">
        <x:v>54</x:v>
      </x:c>
      <x:c r="AF28" t="s">
        <x:v>54</x:v>
      </x:c>
      <x:c r="AG28" t="s">
        <x:v>54</x:v>
      </x:c>
      <x:c r="AH28" t="s">
        <x:v>54</x:v>
      </x:c>
      <x:c r="AI28" t="s">
        <x:v>54</x:v>
      </x:c>
      <x:c r="AJ28" t="s">
        <x:v>54</x:v>
      </x:c>
      <x:c r="AK28" t="s">
        <x:v>54</x:v>
      </x:c>
      <x:c r="AL28" t="s">
        <x:v>54</x:v>
      </x:c>
      <x:c r="AM28" t="s">
        <x:v>54</x:v>
      </x:c>
      <x:c r="AN28" t="s">
        <x:v>54</x:v>
      </x:c>
      <x:c r="AO28" t="s">
        <x:v>54</x:v>
      </x:c>
      <x:c r="AP28" t="s">
        <x:v>54</x:v>
      </x:c>
      <x:c r="AQ28" t="b">
        <x:v>0</x:v>
      </x:c>
      <x:c r="AR28" t="s">
        <x:v>453</x:v>
      </x:c>
      <x:c r="AS28" t="s">
        <x:v>54</x:v>
      </x:c>
      <x:c r="AT28" t="s">
        <x:v>73</x:v>
      </x:c>
      <x:c r="AU28" t="s">
        <x:v>446</x:v>
      </x:c>
      <x:c r="AV28" t="s">
        <x:v>88</x:v>
      </x:c>
      <x:c r="AW28" t="s">
        <x:v>75</x:v>
      </x:c>
      <x:c r="AX28" t="s">
        <x:v>454</x:v>
      </x:c>
      <x:c r="AY28" t="str">
        <x:f>IF(AND(ISNUMBER(SEARCH("Donovan",AC28)),OR(AT28=TRUE,AT28="TRUE"),OR(AQ28=FALSE,AQ28="FALSE")),"YES","NO")</x:f>
        <x:v>YES</x:v>
      </x:c>
      <x:c r="AZ28" t="str">
        <x:f>IF(AND(AY28="YES",LEFT(I28,2)="FF"),"YES","NO")</x:f>
        <x:v>NO</x:v>
      </x:c>
      <x:c r="BA28" t="str">
        <x:f>IF(AZ28&lt;&gt;"YES","Not FF focus",IF(N28&lt;=2,"0-2 Remote Window",IF(N28&lt;=5,"3-5 Client Follow-up",IF(N28=6,"Day 6 Escalate","7+ Overdue"))))</x:f>
        <x:v>Not FF focus</x:v>
      </x:c>
      <x:c r="BB28" t="str">
        <x:f>IF(AZ28&lt;&gt;"YES","Excluded",IF(N28&lt;=2,"On Track",IF(N28&lt;=5,"Warning",IF(N28=6,"Escalate Today","Overdue"))))</x:f>
        <x:v>Excluded</x:v>
      </x:c>
      <x:c r="BC28" t="str">
        <x:f>IF(AY28&lt;&gt;"YES","",IF(ISNUMBER(SEARCH("Quote Sent",P28)),"Follow up quote approval weekly + add JC comment",IF(ISNUMBER(SEARCH("Awaiting install",P28)),"Confirm install date/ETA + update JC",IF(ISNUMBER(SEARCH("Schedule",P28)),"Schedule/confirm tech action",IF(AZ28="YES",IF(N28&lt;=2,"Troubleshoot remotely + comment evidence",IF(N28&lt;=5,"Email/call client + record who/when/outcome","Escalate to Lindy + agree action plan")),"Check current status + add clear JC comment")))))</x:f>
        <x:v>Check current status + add clear JC comment</x:v>
      </x:c>
      <x:c r="BD28" t="str">
        <x:f>IF(AZ28="YES",6-N28,"")</x:f>
      </x:c>
      <x:c r="BE28" t="str">
        <x:f>IF(AY28="YES","Comment must show: date, contact person, method, outcome, next action","")</x:f>
        <x:v>Comment must show: date, contact person, method, outcome, next action</x:v>
      </x:c>
      <x:c r="BF28" t="str">
        <x:f>IF(AND(AY28="YES",O28&gt;=7),"Stuck in status 7+ days","")</x:f>
        <x:v>Stuck in status 7+ days</x:v>
      </x:c>
    </x:row>
    <x:row r="29">
      <x:c r="A29" t="s">
        <x:v>109</x:v>
      </x:c>
      <x:c r="B29" t="s">
        <x:v>455</x:v>
      </x:c>
      <x:c r="C29" t="s">
        <x:v>456</x:v>
      </x:c>
      <x:c r="D29" t="s">
        <x:v>457</x:v>
      </x:c>
      <x:c r="E29" t="s">
        <x:v>54</x:v>
      </x:c>
      <x:c r="F29" t="s">
        <x:v>458</x:v>
      </x:c>
      <x:c r="G29" t="s">
        <x:v>459</x:v>
      </x:c>
      <x:c r="H29" t="s">
        <x:v>460</x:v>
      </x:c>
      <x:c r="I29" t="s">
        <x:v>142</x:v>
      </x:c>
      <x:c r="J29" t="s">
        <x:v>461</x:v>
      </x:c>
      <x:c r="K29" t="s">
        <x:v>54</x:v>
      </x:c>
      <x:c r="L29" t="s">
        <x:v>462</x:v>
      </x:c>
      <x:c r="M29" t="s">
        <x:v>463</x:v>
      </x:c>
      <x:c r="N29">
        <x:v>52</x:v>
      </x:c>
      <x:c r="O29">
        <x:v>51</x:v>
      </x:c>
      <x:c r="P29" t="s">
        <x:v>146</x:v>
      </x:c>
      <x:c r="Q29" t="s">
        <x:v>464</x:v>
      </x:c>
      <x:c r="R29" t="s">
        <x:v>54</x:v>
      </x:c>
      <x:c r="S29" t="s">
        <x:v>54</x:v>
      </x:c>
      <x:c r="T29" t="s">
        <x:v>54</x:v>
      </x:c>
      <x:c r="U29" t="s">
        <x:v>465</x:v>
      </x:c>
      <x:c r="V29" t="s">
        <x:v>54</x:v>
      </x:c>
      <x:c r="W29" t="s">
        <x:v>54</x:v>
      </x:c>
      <x:c r="X29" t="s">
        <x:v>54</x:v>
      </x:c>
      <x:c r="Y29" t="s">
        <x:v>54</x:v>
      </x:c>
      <x:c r="Z29" t="s">
        <x:v>54</x:v>
      </x:c>
      <x:c r="AA29" t="s">
        <x:v>54</x:v>
      </x:c>
      <x:c r="AB29" t="s">
        <x:v>54</x:v>
      </x:c>
      <x:c r="AC29" t="s">
        <x:v>166</x:v>
      </x:c>
      <x:c r="AD29" t="s">
        <x:v>54</x:v>
      </x:c>
      <x:c r="AE29" t="s">
        <x:v>54</x:v>
      </x:c>
      <x:c r="AF29" t="s">
        <x:v>54</x:v>
      </x:c>
      <x:c r="AG29" t="s">
        <x:v>54</x:v>
      </x:c>
      <x:c r="AH29" t="s">
        <x:v>54</x:v>
      </x:c>
      <x:c r="AI29" t="s">
        <x:v>54</x:v>
      </x:c>
      <x:c r="AJ29" t="s">
        <x:v>54</x:v>
      </x:c>
      <x:c r="AK29" t="s">
        <x:v>54</x:v>
      </x:c>
      <x:c r="AL29" t="s">
        <x:v>54</x:v>
      </x:c>
      <x:c r="AM29" t="s">
        <x:v>54</x:v>
      </x:c>
      <x:c r="AN29" t="s">
        <x:v>54</x:v>
      </x:c>
      <x:c r="AO29" t="s">
        <x:v>54</x:v>
      </x:c>
      <x:c r="AP29" t="s">
        <x:v>54</x:v>
      </x:c>
      <x:c r="AQ29" t="b">
        <x:v>0</x:v>
      </x:c>
      <x:c r="AR29" t="s">
        <x:v>207</x:v>
      </x:c>
      <x:c r="AS29" t="s">
        <x:v>54</x:v>
      </x:c>
      <x:c r="AT29" t="s">
        <x:v>73</x:v>
      </x:c>
      <x:c r="AU29" t="s">
        <x:v>463</x:v>
      </x:c>
      <x:c r="AV29" t="s">
        <x:v>88</x:v>
      </x:c>
      <x:c r="AW29" t="s">
        <x:v>155</x:v>
      </x:c>
      <x:c r="AX29" t="s">
        <x:v>464</x:v>
      </x:c>
      <x:c r="AY29" t="str">
        <x:f>IF(AND(ISNUMBER(SEARCH("Donovan",AC29)),OR(AT29=TRUE,AT29="TRUE"),OR(AQ29=FALSE,AQ29="FALSE")),"YES","NO")</x:f>
        <x:v>YES</x:v>
      </x:c>
      <x:c r="AZ29" t="str">
        <x:f>IF(AND(AY29="YES",LEFT(I29,2)="FF"),"YES","NO")</x:f>
        <x:v>NO</x:v>
      </x:c>
      <x:c r="BA29" t="str">
        <x:f>IF(AZ29&lt;&gt;"YES","Not FF focus",IF(N29&lt;=2,"0-2 Remote Window",IF(N29&lt;=5,"3-5 Client Follow-up",IF(N29=6,"Day 6 Escalate","7+ Overdue"))))</x:f>
        <x:v>Not FF focus</x:v>
      </x:c>
      <x:c r="BB29" t="str">
        <x:f>IF(AZ29&lt;&gt;"YES","Excluded",IF(N29&lt;=2,"On Track",IF(N29&lt;=5,"Warning",IF(N29=6,"Escalate Today","Overdue"))))</x:f>
        <x:v>Excluded</x:v>
      </x:c>
      <x:c r="BC29" t="str">
        <x:f>IF(AY29&lt;&gt;"YES","",IF(ISNUMBER(SEARCH("Quote Sent",P29)),"Follow up quote approval weekly + add JC comment",IF(ISNUMBER(SEARCH("Awaiting install",P29)),"Confirm install date/ETA + update JC",IF(ISNUMBER(SEARCH("Schedule",P29)),"Schedule/confirm tech action",IF(AZ29="YES",IF(N29&lt;=2,"Troubleshoot remotely + comment evidence",IF(N29&lt;=5,"Email/call client + record who/when/outcome","Escalate to Lindy + agree action plan")),"Check current status + add clear JC comment")))))</x:f>
        <x:v>Follow up quote approval weekly + add JC comment</x:v>
      </x:c>
      <x:c r="BD29" t="str">
        <x:f>IF(AZ29="YES",6-N29,"")</x:f>
      </x:c>
      <x:c r="BE29" t="str">
        <x:f>IF(AY29="YES","Comment must show: date, contact person, method, outcome, next action","")</x:f>
        <x:v>Comment must show: date, contact person, method, outcome, next action</x:v>
      </x:c>
      <x:c r="BF29" t="str">
        <x:f>IF(AND(AY29="YES",O29&gt;=7),"Stuck in status 7+ days","")</x:f>
        <x:v>Stuck in status 7+ days</x:v>
      </x:c>
    </x:row>
    <x:row r="30">
      <x:c r="A30" t="s">
        <x:v>109</x:v>
      </x:c>
      <x:c r="B30" t="s">
        <x:v>466</x:v>
      </x:c>
      <x:c r="C30" t="s">
        <x:v>52</x:v>
      </x:c>
      <x:c r="D30" t="s">
        <x:v>53</x:v>
      </x:c>
      <x:c r="E30" t="s">
        <x:v>54</x:v>
      </x:c>
      <x:c r="F30" t="s">
        <x:v>467</x:v>
      </x:c>
      <x:c r="G30" t="s">
        <x:v>468</x:v>
      </x:c>
      <x:c r="H30" t="s">
        <x:v>469</x:v>
      </x:c>
      <x:c r="I30" t="s">
        <x:v>57</x:v>
      </x:c>
      <x:c r="J30" t="s">
        <x:v>470</x:v>
      </x:c>
      <x:c r="K30" t="s">
        <x:v>54</x:v>
      </x:c>
      <x:c r="L30" t="s">
        <x:v>126</x:v>
      </x:c>
      <x:c r="M30" t="s">
        <x:v>471</x:v>
      </x:c>
      <x:c r="N30">
        <x:v>52</x:v>
      </x:c>
      <x:c r="O30">
        <x:v>38</x:v>
      </x:c>
      <x:c r="P30" t="s">
        <x:v>230</x:v>
      </x:c>
      <x:c r="Q30" t="s">
        <x:v>472</x:v>
      </x:c>
      <x:c r="R30" t="s">
        <x:v>54</x:v>
      </x:c>
      <x:c r="S30" t="s">
        <x:v>54</x:v>
      </x:c>
      <x:c r="T30" t="s">
        <x:v>54</x:v>
      </x:c>
      <x:c r="U30" t="s">
        <x:v>473</x:v>
      </x:c>
      <x:c r="V30" t="s">
        <x:v>54</x:v>
      </x:c>
      <x:c r="W30" t="s">
        <x:v>54</x:v>
      </x:c>
      <x:c r="X30" t="s">
        <x:v>54</x:v>
      </x:c>
      <x:c r="Y30" t="s">
        <x:v>474</x:v>
      </x:c>
      <x:c r="Z30" t="s">
        <x:v>475</x:v>
      </x:c>
      <x:c r="AA30" t="s">
        <x:v>476</x:v>
      </x:c>
      <x:c r="AB30" t="s">
        <x:v>54</x:v>
      </x:c>
      <x:c r="AC30" t="s">
        <x:v>166</x:v>
      </x:c>
      <x:c r="AD30" t="s">
        <x:v>54</x:v>
      </x:c>
      <x:c r="AE30" t="s">
        <x:v>54</x:v>
      </x:c>
      <x:c r="AF30" t="s">
        <x:v>54</x:v>
      </x:c>
      <x:c r="AG30" t="s">
        <x:v>477</x:v>
      </x:c>
      <x:c r="AH30" t="s">
        <x:v>54</x:v>
      </x:c>
      <x:c r="AI30" t="s">
        <x:v>54</x:v>
      </x:c>
      <x:c r="AJ30" t="s">
        <x:v>54</x:v>
      </x:c>
      <x:c r="AK30" t="s">
        <x:v>54</x:v>
      </x:c>
      <x:c r="AL30" t="s">
        <x:v>54</x:v>
      </x:c>
      <x:c r="AM30" t="s">
        <x:v>478</x:v>
      </x:c>
      <x:c r="AN30" t="s">
        <x:v>479</x:v>
      </x:c>
      <x:c r="AO30" t="s">
        <x:v>54</x:v>
      </x:c>
      <x:c r="AP30" t="s">
        <x:v>54</x:v>
      </x:c>
      <x:c r="AQ30" t="b">
        <x:v>0</x:v>
      </x:c>
      <x:c r="AR30" t="s">
        <x:v>239</x:v>
      </x:c>
      <x:c r="AS30" t="s">
        <x:v>54</x:v>
      </x:c>
      <x:c r="AT30" t="s">
        <x:v>73</x:v>
      </x:c>
      <x:c r="AU30" t="s">
        <x:v>480</x:v>
      </x:c>
      <x:c r="AV30" t="s">
        <x:v>481</x:v>
      </x:c>
      <x:c r="AW30" t="s">
        <x:v>155</x:v>
      </x:c>
      <x:c r="AX30" t="s">
        <x:v>472</x:v>
      </x:c>
      <x:c r="AY30" t="str">
        <x:f>IF(AND(ISNUMBER(SEARCH("Donovan",AC30)),OR(AT30=TRUE,AT30="TRUE"),OR(AQ30=FALSE,AQ30="FALSE")),"YES","NO")</x:f>
        <x:v>YES</x:v>
      </x:c>
      <x:c r="AZ30" t="str">
        <x:f>IF(AND(AY30="YES",LEFT(I30,2)="FF"),"YES","NO")</x:f>
        <x:v>YES</x:v>
      </x:c>
      <x:c r="BA30" t="str">
        <x:f>IF(AZ30&lt;&gt;"YES","Not FF focus",IF(N30&lt;=2,"0-2 Remote Window",IF(N30&lt;=5,"3-5 Client Follow-up",IF(N30=6,"Day 6 Escalate","7+ Overdue"))))</x:f>
        <x:v>7+ Overdue</x:v>
      </x:c>
      <x:c r="BB30" t="str">
        <x:f>IF(AZ30&lt;&gt;"YES","Excluded",IF(N30&lt;=2,"On Track",IF(N30&lt;=5,"Warning",IF(N30=6,"Escalate Today","Overdue"))))</x:f>
        <x:v>Overdue</x:v>
      </x:c>
      <x:c r="BC30" t="str">
        <x:f>IF(AY30&lt;&gt;"YES","",IF(ISNUMBER(SEARCH("Quote Sent",P30)),"Follow up quote approval weekly + add JC comment",IF(ISNUMBER(SEARCH("Awaiting install",P30)),"Confirm install date/ETA + update JC",IF(ISNUMBER(SEARCH("Schedule",P30)),"Schedule/confirm tech action",IF(AZ30="YES",IF(N30&lt;=2,"Troubleshoot remotely + comment evidence",IF(N30&lt;=5,"Email/call client + record who/when/outcome","Escalate to Lindy + agree action plan")),"Check current status + add clear JC comment")))))</x:f>
        <x:v>Follow up quote approval weekly + add JC comment</x:v>
      </x:c>
      <x:c r="BD30" t="n">
        <x:f>IF(AZ30="YES",6-N30,"")</x:f>
        <x:v>-46</x:v>
      </x:c>
      <x:c r="BE30" t="str">
        <x:f>IF(AY30="YES","Comment must show: date, contact person, method, outcome, next action","")</x:f>
        <x:v>Comment must show: date, contact person, method, outcome, next action</x:v>
      </x:c>
      <x:c r="BF30" t="str">
        <x:f>IF(AND(AY30="YES",O30&gt;=7),"Stuck in status 7+ days","")</x:f>
        <x:v>Stuck in status 7+ days</x:v>
      </x:c>
    </x:row>
    <x:row r="31">
      <x:c r="A31" t="s">
        <x:v>109</x:v>
      </x:c>
      <x:c r="B31" t="s">
        <x:v>482</x:v>
      </x:c>
      <x:c r="C31" t="s">
        <x:v>483</x:v>
      </x:c>
      <x:c r="D31" t="s">
        <x:v>484</x:v>
      </x:c>
      <x:c r="E31" t="s">
        <x:v>54</x:v>
      </x:c>
      <x:c r="F31" t="s">
        <x:v>485</x:v>
      </x:c>
      <x:c r="G31" t="s">
        <x:v>486</x:v>
      </x:c>
      <x:c r="H31" t="s">
        <x:v>487</x:v>
      </x:c>
      <x:c r="I31" t="s">
        <x:v>95</x:v>
      </x:c>
      <x:c r="J31" t="s">
        <x:v>488</x:v>
      </x:c>
      <x:c r="K31" t="s">
        <x:v>54</x:v>
      </x:c>
      <x:c r="L31" t="s">
        <x:v>489</x:v>
      </x:c>
      <x:c r="M31" t="s">
        <x:v>490</x:v>
      </x:c>
      <x:c r="N31">
        <x:v>51</x:v>
      </x:c>
      <x:c r="O31">
        <x:v>7</x:v>
      </x:c>
      <x:c r="P31" t="s">
        <x:v>491</x:v>
      </x:c>
      <x:c r="Q31" t="s">
        <x:v>492</x:v>
      </x:c>
      <x:c r="R31" t="s">
        <x:v>54</x:v>
      </x:c>
      <x:c r="S31" t="s">
        <x:v>54</x:v>
      </x:c>
      <x:c r="T31" t="s">
        <x:v>54</x:v>
      </x:c>
      <x:c r="U31" t="s">
        <x:v>54</x:v>
      </x:c>
      <x:c r="V31" t="s">
        <x:v>54</x:v>
      </x:c>
      <x:c r="W31" t="s">
        <x:v>54</x:v>
      </x:c>
      <x:c r="X31" t="s">
        <x:v>54</x:v>
      </x:c>
      <x:c r="Y31" t="s">
        <x:v>493</x:v>
      </x:c>
      <x:c r="Z31" t="s">
        <x:v>494</x:v>
      </x:c>
      <x:c r="AA31" t="s">
        <x:v>495</x:v>
      </x:c>
      <x:c r="AB31" t="s">
        <x:v>54</x:v>
      </x:c>
      <x:c r="AC31" t="s">
        <x:v>68</x:v>
      </x:c>
      <x:c r="AD31" t="s">
        <x:v>54</x:v>
      </x:c>
      <x:c r="AE31" t="s">
        <x:v>54</x:v>
      </x:c>
      <x:c r="AF31" t="s">
        <x:v>54</x:v>
      </x:c>
      <x:c r="AG31" t="s">
        <x:v>496</x:v>
      </x:c>
      <x:c r="AH31" t="s">
        <x:v>54</x:v>
      </x:c>
      <x:c r="AI31" t="s">
        <x:v>54</x:v>
      </x:c>
      <x:c r="AJ31" t="s">
        <x:v>54</x:v>
      </x:c>
      <x:c r="AK31" t="s">
        <x:v>54</x:v>
      </x:c>
      <x:c r="AL31" t="s">
        <x:v>54</x:v>
      </x:c>
      <x:c r="AM31" t="s">
        <x:v>497</x:v>
      </x:c>
      <x:c r="AN31" t="s">
        <x:v>332</x:v>
      </x:c>
      <x:c r="AO31" t="s">
        <x:v>54</x:v>
      </x:c>
      <x:c r="AP31" t="s">
        <x:v>54</x:v>
      </x:c>
      <x:c r="AQ31" t="b">
        <x:v>0</x:v>
      </x:c>
      <x:c r="AR31" t="s">
        <x:v>498</x:v>
      </x:c>
      <x:c r="AS31" t="s">
        <x:v>54</x:v>
      </x:c>
      <x:c r="AT31" t="s">
        <x:v>73</x:v>
      </x:c>
      <x:c r="AU31" t="s">
        <x:v>499</x:v>
      </x:c>
      <x:c r="AV31" t="s">
        <x:v>75</x:v>
      </x:c>
      <x:c r="AW31" t="s">
        <x:v>88</x:v>
      </x:c>
      <x:c r="AX31" t="s">
        <x:v>492</x:v>
      </x:c>
      <x:c r="AY31" t="str">
        <x:f>IF(AND(ISNUMBER(SEARCH("Donovan",AC31)),OR(AT31=TRUE,AT31="TRUE"),OR(AQ31=FALSE,AQ31="FALSE")),"YES","NO")</x:f>
        <x:v>YES</x:v>
      </x:c>
      <x:c r="AZ31" t="str">
        <x:f>IF(AND(AY31="YES",LEFT(I31,2)="FF"),"YES","NO")</x:f>
        <x:v>YES</x:v>
      </x:c>
      <x:c r="BA31" t="str">
        <x:f>IF(AZ31&lt;&gt;"YES","Not FF focus",IF(N31&lt;=2,"0-2 Remote Window",IF(N31&lt;=5,"3-5 Client Follow-up",IF(N31=6,"Day 6 Escalate","7+ Overdue"))))</x:f>
        <x:v>7+ Overdue</x:v>
      </x:c>
      <x:c r="BB31" t="str">
        <x:f>IF(AZ31&lt;&gt;"YES","Excluded",IF(N31&lt;=2,"On Track",IF(N31&lt;=5,"Warning",IF(N31=6,"Escalate Today","Overdue"))))</x:f>
        <x:v>Overdue</x:v>
      </x:c>
      <x:c r="BC31" t="str">
        <x:f>IF(AY31&lt;&gt;"YES","",IF(ISNUMBER(SEARCH("Quote Sent",P31)),"Follow up quote approval weekly + add JC comment",IF(ISNUMBER(SEARCH("Awaiting install",P31)),"Confirm install date/ETA + update JC",IF(ISNUMBER(SEARCH("Schedule",P31)),"Schedule/confirm tech action",IF(AZ31="YES",IF(N31&lt;=2,"Troubleshoot remotely + comment evidence",IF(N31&lt;=5,"Email/call client + record who/when/outcome","Escalate to Lindy + agree action plan")),"Check current status + add clear JC comment")))))</x:f>
        <x:v>Escalate to Lindy + agree action plan</x:v>
      </x:c>
      <x:c r="BD31" t="n">
        <x:f>IF(AZ31="YES",6-N31,"")</x:f>
        <x:v>-45</x:v>
      </x:c>
      <x:c r="BE31" t="str">
        <x:f>IF(AY31="YES","Comment must show: date, contact person, method, outcome, next action","")</x:f>
        <x:v>Comment must show: date, contact person, method, outcome, next action</x:v>
      </x:c>
      <x:c r="BF31" t="str">
        <x:f>IF(AND(AY31="YES",O31&gt;=7),"Stuck in status 7+ days","")</x:f>
        <x:v>Stuck in status 7+ days</x:v>
      </x:c>
    </x:row>
    <x:row r="32">
      <x:c r="A32" t="s">
        <x:v>109</x:v>
      </x:c>
      <x:c r="B32" t="s">
        <x:v>500</x:v>
      </x:c>
      <x:c r="C32" t="s">
        <x:v>501</x:v>
      </x:c>
      <x:c r="D32" t="s">
        <x:v>502</x:v>
      </x:c>
      <x:c r="E32" t="s">
        <x:v>54</x:v>
      </x:c>
      <x:c r="F32" t="s">
        <x:v>93</x:v>
      </x:c>
      <x:c r="G32" t="s">
        <x:v>94</x:v>
      </x:c>
      <x:c r="H32" t="s">
        <x:v>503</x:v>
      </x:c>
      <x:c r="I32" t="s">
        <x:v>115</x:v>
      </x:c>
      <x:c r="J32" t="s">
        <x:v>504</x:v>
      </x:c>
      <x:c r="K32" t="s">
        <x:v>54</x:v>
      </x:c>
      <x:c r="L32" t="s">
        <x:v>505</x:v>
      </x:c>
      <x:c r="M32" t="s">
        <x:v>506</x:v>
      </x:c>
      <x:c r="N32">
        <x:v>51</x:v>
      </x:c>
      <x:c r="O32">
        <x:v>6</x:v>
      </x:c>
      <x:c r="P32" t="s">
        <x:v>507</x:v>
      </x:c>
      <x:c r="Q32" t="s">
        <x:v>508</x:v>
      </x:c>
      <x:c r="R32" t="s">
        <x:v>54</x:v>
      </x:c>
      <x:c r="S32" t="s">
        <x:v>54</x:v>
      </x:c>
      <x:c r="T32" t="s">
        <x:v>54</x:v>
      </x:c>
      <x:c r="U32" t="s">
        <x:v>509</x:v>
      </x:c>
      <x:c r="V32" t="s">
        <x:v>54</x:v>
      </x:c>
      <x:c r="W32" t="s">
        <x:v>54</x:v>
      </x:c>
      <x:c r="X32" t="s">
        <x:v>54</x:v>
      </x:c>
      <x:c r="Y32" t="s">
        <x:v>510</x:v>
      </x:c>
      <x:c r="Z32" t="s">
        <x:v>511</x:v>
      </x:c>
      <x:c r="AA32" t="s">
        <x:v>512</x:v>
      </x:c>
      <x:c r="AB32" t="s">
        <x:v>513</x:v>
      </x:c>
      <x:c r="AC32" t="s">
        <x:v>166</x:v>
      </x:c>
      <x:c r="AD32" t="s">
        <x:v>54</x:v>
      </x:c>
      <x:c r="AE32" t="s">
        <x:v>54</x:v>
      </x:c>
      <x:c r="AF32" t="s">
        <x:v>54</x:v>
      </x:c>
      <x:c r="AG32" t="s">
        <x:v>54</x:v>
      </x:c>
      <x:c r="AH32" t="s">
        <x:v>54</x:v>
      </x:c>
      <x:c r="AI32" t="s">
        <x:v>54</x:v>
      </x:c>
      <x:c r="AJ32" t="s">
        <x:v>54</x:v>
      </x:c>
      <x:c r="AK32" t="s">
        <x:v>54</x:v>
      </x:c>
      <x:c r="AL32" t="s">
        <x:v>54</x:v>
      </x:c>
      <x:c r="AM32" t="s">
        <x:v>54</x:v>
      </x:c>
      <x:c r="AN32" t="s">
        <x:v>54</x:v>
      </x:c>
      <x:c r="AO32" t="s">
        <x:v>54</x:v>
      </x:c>
      <x:c r="AP32" t="s">
        <x:v>54</x:v>
      </x:c>
      <x:c r="AQ32" t="b">
        <x:v>0</x:v>
      </x:c>
      <x:c r="AR32" t="s">
        <x:v>514</x:v>
      </x:c>
      <x:c r="AS32" t="s">
        <x:v>54</x:v>
      </x:c>
      <x:c r="AT32" t="s">
        <x:v>73</x:v>
      </x:c>
      <x:c r="AU32" t="s">
        <x:v>515</x:v>
      </x:c>
      <x:c r="AV32" t="s">
        <x:v>88</x:v>
      </x:c>
      <x:c r="AW32" t="s">
        <x:v>516</x:v>
      </x:c>
      <x:c r="AX32" t="s">
        <x:v>508</x:v>
      </x:c>
      <x:c r="AY32" t="str">
        <x:f>IF(AND(ISNUMBER(SEARCH("Donovan",AC32)),OR(AT32=TRUE,AT32="TRUE"),OR(AQ32=FALSE,AQ32="FALSE")),"YES","NO")</x:f>
        <x:v>YES</x:v>
      </x:c>
      <x:c r="AZ32" t="str">
        <x:f>IF(AND(AY32="YES",LEFT(I32,2)="FF"),"YES","NO")</x:f>
        <x:v>NO</x:v>
      </x:c>
      <x:c r="BA32" t="str">
        <x:f>IF(AZ32&lt;&gt;"YES","Not FF focus",IF(N32&lt;=2,"0-2 Remote Window",IF(N32&lt;=5,"3-5 Client Follow-up",IF(N32=6,"Day 6 Escalate","7+ Overdue"))))</x:f>
        <x:v>Not FF focus</x:v>
      </x:c>
      <x:c r="BB32" t="str">
        <x:f>IF(AZ32&lt;&gt;"YES","Excluded",IF(N32&lt;=2,"On Track",IF(N32&lt;=5,"Warning",IF(N32=6,"Escalate Today","Overdue"))))</x:f>
        <x:v>Excluded</x:v>
      </x:c>
      <x:c r="BC32" t="str">
        <x:f>IF(AY32&lt;&gt;"YES","",IF(ISNUMBER(SEARCH("Quote Sent",P32)),"Follow up quote approval weekly + add JC comment",IF(ISNUMBER(SEARCH("Awaiting install",P32)),"Confirm install date/ETA + update JC",IF(ISNUMBER(SEARCH("Schedule",P32)),"Schedule/confirm tech action",IF(AZ32="YES",IF(N32&lt;=2,"Troubleshoot remotely + comment evidence",IF(N32&lt;=5,"Email/call client + record who/when/outcome","Escalate to Lindy + agree action plan")),"Check current status + add clear JC comment")))))</x:f>
        <x:v>Check current status + add clear JC comment</x:v>
      </x:c>
      <x:c r="BD32" t="str">
        <x:f>IF(AZ32="YES",6-N32,"")</x:f>
      </x:c>
      <x:c r="BE32" t="str">
        <x:f>IF(AY32="YES","Comment must show: date, contact person, method, outcome, next action","")</x:f>
        <x:v>Comment must show: date, contact person, method, outcome, next action</x:v>
      </x:c>
      <x:c r="BF32" t="str">
        <x:f>IF(AND(AY32="YES",O32&gt;=7),"Stuck in status 7+ days","")</x:f>
      </x:c>
    </x:row>
    <x:row r="33">
      <x:c r="A33" t="s">
        <x:v>109</x:v>
      </x:c>
      <x:c r="B33" t="s">
        <x:v>517</x:v>
      </x:c>
      <x:c r="C33" t="s">
        <x:v>518</x:v>
      </x:c>
      <x:c r="D33" t="s">
        <x:v>519</x:v>
      </x:c>
      <x:c r="E33" t="s">
        <x:v>54</x:v>
      </x:c>
      <x:c r="F33" t="s">
        <x:v>520</x:v>
      </x:c>
      <x:c r="G33" t="s">
        <x:v>521</x:v>
      </x:c>
      <x:c r="H33" t="s">
        <x:v>54</x:v>
      </x:c>
      <x:c r="I33" t="s">
        <x:v>522</x:v>
      </x:c>
      <x:c r="J33" t="s">
        <x:v>523</x:v>
      </x:c>
      <x:c r="K33" t="s">
        <x:v>54</x:v>
      </x:c>
      <x:c r="L33" t="s">
        <x:v>524</x:v>
      </x:c>
      <x:c r="M33" t="s">
        <x:v>525</x:v>
      </x:c>
      <x:c r="N33">
        <x:v>51</x:v>
      </x:c>
      <x:c r="O33">
        <x:v>31</x:v>
      </x:c>
      <x:c r="P33" t="s">
        <x:v>526</x:v>
      </x:c>
      <x:c r="Q33" t="s">
        <x:v>527</x:v>
      </x:c>
      <x:c r="R33" t="s">
        <x:v>54</x:v>
      </x:c>
      <x:c r="S33" t="s">
        <x:v>54</x:v>
      </x:c>
      <x:c r="T33" t="s">
        <x:v>54</x:v>
      </x:c>
      <x:c r="U33" t="s">
        <x:v>54</x:v>
      </x:c>
      <x:c r="V33" t="s">
        <x:v>54</x:v>
      </x:c>
      <x:c r="W33" t="s">
        <x:v>54</x:v>
      </x:c>
      <x:c r="X33" t="s">
        <x:v>54</x:v>
      </x:c>
      <x:c r="Y33" t="s">
        <x:v>528</x:v>
      </x:c>
      <x:c r="Z33" t="s">
        <x:v>511</x:v>
      </x:c>
      <x:c r="AA33" t="s">
        <x:v>529</x:v>
      </x:c>
      <x:c r="AB33" t="s">
        <x:v>54</x:v>
      </x:c>
      <x:c r="AC33" t="s">
        <x:v>68</x:v>
      </x:c>
      <x:c r="AD33" t="s">
        <x:v>54</x:v>
      </x:c>
      <x:c r="AE33" t="s">
        <x:v>54</x:v>
      </x:c>
      <x:c r="AF33" t="s">
        <x:v>54</x:v>
      </x:c>
      <x:c r="AG33" t="s">
        <x:v>530</x:v>
      </x:c>
      <x:c r="AH33" t="s">
        <x:v>54</x:v>
      </x:c>
      <x:c r="AI33" t="s">
        <x:v>54</x:v>
      </x:c>
      <x:c r="AJ33" t="s">
        <x:v>54</x:v>
      </x:c>
      <x:c r="AK33" t="s">
        <x:v>54</x:v>
      </x:c>
      <x:c r="AL33" t="s">
        <x:v>54</x:v>
      </x:c>
      <x:c r="AM33" t="s">
        <x:v>531</x:v>
      </x:c>
      <x:c r="AN33" t="s">
        <x:v>532</x:v>
      </x:c>
      <x:c r="AO33" t="s">
        <x:v>54</x:v>
      </x:c>
      <x:c r="AP33" t="s">
        <x:v>54</x:v>
      </x:c>
      <x:c r="AQ33" t="b">
        <x:v>0</x:v>
      </x:c>
      <x:c r="AR33" t="s">
        <x:v>533</x:v>
      </x:c>
      <x:c r="AS33" t="s">
        <x:v>54</x:v>
      </x:c>
      <x:c r="AT33" t="s">
        <x:v>73</x:v>
      </x:c>
      <x:c r="AU33" t="s">
        <x:v>534</x:v>
      </x:c>
      <x:c r="AV33" t="s">
        <x:v>75</x:v>
      </x:c>
      <x:c r="AW33" t="s">
        <x:v>88</x:v>
      </x:c>
      <x:c r="AX33" t="s">
        <x:v>527</x:v>
      </x:c>
      <x:c r="AY33" t="str">
        <x:f>IF(AND(ISNUMBER(SEARCH("Donovan",AC33)),OR(AT33=TRUE,AT33="TRUE"),OR(AQ33=FALSE,AQ33="FALSE")),"YES","NO")</x:f>
        <x:v>YES</x:v>
      </x:c>
      <x:c r="AZ33" t="str">
        <x:f>IF(AND(AY33="YES",LEFT(I33,2)="FF"),"YES","NO")</x:f>
        <x:v>YES</x:v>
      </x:c>
      <x:c r="BA33" t="str">
        <x:f>IF(AZ33&lt;&gt;"YES","Not FF focus",IF(N33&lt;=2,"0-2 Remote Window",IF(N33&lt;=5,"3-5 Client Follow-up",IF(N33=6,"Day 6 Escalate","7+ Overdue"))))</x:f>
        <x:v>7+ Overdue</x:v>
      </x:c>
      <x:c r="BB33" t="str">
        <x:f>IF(AZ33&lt;&gt;"YES","Excluded",IF(N33&lt;=2,"On Track",IF(N33&lt;=5,"Warning",IF(N33=6,"Escalate Today","Overdue"))))</x:f>
        <x:v>Overdue</x:v>
      </x:c>
      <x:c r="BC33" t="str">
        <x:f>IF(AY33&lt;&gt;"YES","",IF(ISNUMBER(SEARCH("Quote Sent",P33)),"Follow up quote approval weekly + add JC comment",IF(ISNUMBER(SEARCH("Awaiting install",P33)),"Confirm install date/ETA + update JC",IF(ISNUMBER(SEARCH("Schedule",P33)),"Schedule/confirm tech action",IF(AZ33="YES",IF(N33&lt;=2,"Troubleshoot remotely + comment evidence",IF(N33&lt;=5,"Email/call client + record who/when/outcome","Escalate to Lindy + agree action plan")),"Check current status + add clear JC comment")))))</x:f>
        <x:v>Escalate to Lindy + agree action plan</x:v>
      </x:c>
      <x:c r="BD33" t="n">
        <x:f>IF(AZ33="YES",6-N33,"")</x:f>
        <x:v>-45</x:v>
      </x:c>
      <x:c r="BE33" t="str">
        <x:f>IF(AY33="YES","Comment must show: date, contact person, method, outcome, next action","")</x:f>
        <x:v>Comment must show: date, contact person, method, outcome, next action</x:v>
      </x:c>
      <x:c r="BF33" t="str">
        <x:f>IF(AND(AY33="YES",O33&gt;=7),"Stuck in status 7+ days","")</x:f>
        <x:v>Stuck in status 7+ days</x:v>
      </x:c>
    </x:row>
    <x:row r="34">
      <x:c r="A34" t="s">
        <x:v>109</x:v>
      </x:c>
      <x:c r="B34" t="s">
        <x:v>535</x:v>
      </x:c>
      <x:c r="C34" t="s">
        <x:v>536</x:v>
      </x:c>
      <x:c r="D34" t="s">
        <x:v>537</x:v>
      </x:c>
      <x:c r="E34" t="s">
        <x:v>54</x:v>
      </x:c>
      <x:c r="F34" t="s">
        <x:v>538</x:v>
      </x:c>
      <x:c r="G34" t="s">
        <x:v>539</x:v>
      </x:c>
      <x:c r="H34" t="s">
        <x:v>540</x:v>
      </x:c>
      <x:c r="I34" t="s">
        <x:v>142</x:v>
      </x:c>
      <x:c r="J34" t="s">
        <x:v>541</x:v>
      </x:c>
      <x:c r="K34" t="s">
        <x:v>54</x:v>
      </x:c>
      <x:c r="L34" t="s">
        <x:v>542</x:v>
      </x:c>
      <x:c r="M34" t="s">
        <x:v>543</x:v>
      </x:c>
      <x:c r="N34">
        <x:v>51</x:v>
      </x:c>
      <x:c r="O34">
        <x:v>16</x:v>
      </x:c>
      <x:c r="P34" t="s">
        <x:v>146</x:v>
      </x:c>
      <x:c r="Q34" t="s">
        <x:v>544</x:v>
      </x:c>
      <x:c r="R34" t="s">
        <x:v>54</x:v>
      </x:c>
      <x:c r="S34" t="s">
        <x:v>54</x:v>
      </x:c>
      <x:c r="T34" t="s">
        <x:v>54</x:v>
      </x:c>
      <x:c r="U34" t="s">
        <x:v>545</x:v>
      </x:c>
      <x:c r="V34" t="s">
        <x:v>54</x:v>
      </x:c>
      <x:c r="W34" t="s">
        <x:v>54</x:v>
      </x:c>
      <x:c r="X34" t="s">
        <x:v>54</x:v>
      </x:c>
      <x:c r="Y34" t="s">
        <x:v>54</x:v>
      </x:c>
      <x:c r="Z34" t="s">
        <x:v>54</x:v>
      </x:c>
      <x:c r="AA34" t="s">
        <x:v>54</x:v>
      </x:c>
      <x:c r="AB34" t="s">
        <x:v>54</x:v>
      </x:c>
      <x:c r="AC34" t="s">
        <x:v>546</x:v>
      </x:c>
      <x:c r="AD34" t="s">
        <x:v>54</x:v>
      </x:c>
      <x:c r="AE34" t="s">
        <x:v>54</x:v>
      </x:c>
      <x:c r="AF34" t="s">
        <x:v>54</x:v>
      </x:c>
      <x:c r="AG34" t="s">
        <x:v>54</x:v>
      </x:c>
      <x:c r="AH34" t="s">
        <x:v>54</x:v>
      </x:c>
      <x:c r="AI34" t="s">
        <x:v>54</x:v>
      </x:c>
      <x:c r="AJ34" t="s">
        <x:v>54</x:v>
      </x:c>
      <x:c r="AK34" t="s">
        <x:v>54</x:v>
      </x:c>
      <x:c r="AL34" t="s">
        <x:v>54</x:v>
      </x:c>
      <x:c r="AM34" t="s">
        <x:v>54</x:v>
      </x:c>
      <x:c r="AN34" t="s">
        <x:v>54</x:v>
      </x:c>
      <x:c r="AO34" t="s">
        <x:v>54</x:v>
      </x:c>
      <x:c r="AP34" t="s">
        <x:v>54</x:v>
      </x:c>
      <x:c r="AQ34" t="b">
        <x:v>0</x:v>
      </x:c>
      <x:c r="AR34" t="s">
        <x:v>547</x:v>
      </x:c>
      <x:c r="AS34" t="s">
        <x:v>54</x:v>
      </x:c>
      <x:c r="AT34" t="s">
        <x:v>73</x:v>
      </x:c>
      <x:c r="AU34" t="s">
        <x:v>548</x:v>
      </x:c>
      <x:c r="AV34" t="s">
        <x:v>88</x:v>
      </x:c>
      <x:c r="AW34" t="s">
        <x:v>155</x:v>
      </x:c>
      <x:c r="AX34" t="s">
        <x:v>544</x:v>
      </x:c>
      <x:c r="AY34" t="str">
        <x:f>IF(AND(ISNUMBER(SEARCH("Donovan",AC34)),OR(AT34=TRUE,AT34="TRUE"),OR(AQ34=FALSE,AQ34="FALSE")),"YES","NO")</x:f>
        <x:v>YES</x:v>
      </x:c>
      <x:c r="AZ34" t="str">
        <x:f>IF(AND(AY34="YES",LEFT(I34,2)="FF"),"YES","NO")</x:f>
        <x:v>NO</x:v>
      </x:c>
      <x:c r="BA34" t="str">
        <x:f>IF(AZ34&lt;&gt;"YES","Not FF focus",IF(N34&lt;=2,"0-2 Remote Window",IF(N34&lt;=5,"3-5 Client Follow-up",IF(N34=6,"Day 6 Escalate","7+ Overdue"))))</x:f>
        <x:v>Not FF focus</x:v>
      </x:c>
      <x:c r="BB34" t="str">
        <x:f>IF(AZ34&lt;&gt;"YES","Excluded",IF(N34&lt;=2,"On Track",IF(N34&lt;=5,"Warning",IF(N34=6,"Escalate Today","Overdue"))))</x:f>
        <x:v>Excluded</x:v>
      </x:c>
      <x:c r="BC34" t="str">
        <x:f>IF(AY34&lt;&gt;"YES","",IF(ISNUMBER(SEARCH("Quote Sent",P34)),"Follow up quote approval weekly + add JC comment",IF(ISNUMBER(SEARCH("Awaiting install",P34)),"Confirm install date/ETA + update JC",IF(ISNUMBER(SEARCH("Schedule",P34)),"Schedule/confirm tech action",IF(AZ34="YES",IF(N34&lt;=2,"Troubleshoot remotely + comment evidence",IF(N34&lt;=5,"Email/call client + record who/when/outcome","Escalate to Lindy + agree action plan")),"Check current status + add clear JC comment")))))</x:f>
        <x:v>Follow up quote approval weekly + add JC comment</x:v>
      </x:c>
      <x:c r="BD34" t="str">
        <x:f>IF(AZ34="YES",6-N34,"")</x:f>
      </x:c>
      <x:c r="BE34" t="str">
        <x:f>IF(AY34="YES","Comment must show: date, contact person, method, outcome, next action","")</x:f>
        <x:v>Comment must show: date, contact person, method, outcome, next action</x:v>
      </x:c>
      <x:c r="BF34" t="str">
        <x:f>IF(AND(AY34="YES",O34&gt;=7),"Stuck in status 7+ days","")</x:f>
        <x:v>Stuck in status 7+ days</x:v>
      </x:c>
    </x:row>
    <x:row r="35">
      <x:c r="A35" t="s">
        <x:v>109</x:v>
      </x:c>
      <x:c r="B35" t="s">
        <x:v>549</x:v>
      </x:c>
      <x:c r="C35" t="s">
        <x:v>536</x:v>
      </x:c>
      <x:c r="D35" t="s">
        <x:v>537</x:v>
      </x:c>
      <x:c r="E35" t="s">
        <x:v>54</x:v>
      </x:c>
      <x:c r="F35" t="s">
        <x:v>550</x:v>
      </x:c>
      <x:c r="G35" t="s">
        <x:v>551</x:v>
      </x:c>
      <x:c r="H35" t="s">
        <x:v>552</x:v>
      </x:c>
      <x:c r="I35" t="s">
        <x:v>142</x:v>
      </x:c>
      <x:c r="J35" t="s">
        <x:v>553</x:v>
      </x:c>
      <x:c r="K35" t="s">
        <x:v>54</x:v>
      </x:c>
      <x:c r="L35" t="s">
        <x:v>554</x:v>
      </x:c>
      <x:c r="M35" t="s">
        <x:v>555</x:v>
      </x:c>
      <x:c r="N35">
        <x:v>51</x:v>
      </x:c>
      <x:c r="O35">
        <x:v>16</x:v>
      </x:c>
      <x:c r="P35" t="s">
        <x:v>146</x:v>
      </x:c>
      <x:c r="Q35" t="s">
        <x:v>556</x:v>
      </x:c>
      <x:c r="R35" t="s">
        <x:v>54</x:v>
      </x:c>
      <x:c r="S35" t="s">
        <x:v>54</x:v>
      </x:c>
      <x:c r="T35" t="s">
        <x:v>54</x:v>
      </x:c>
      <x:c r="U35" t="s">
        <x:v>557</x:v>
      </x:c>
      <x:c r="V35" t="s">
        <x:v>54</x:v>
      </x:c>
      <x:c r="W35" t="s">
        <x:v>54</x:v>
      </x:c>
      <x:c r="X35" t="s">
        <x:v>54</x:v>
      </x:c>
      <x:c r="Y35" t="s">
        <x:v>54</x:v>
      </x:c>
      <x:c r="Z35" t="s">
        <x:v>54</x:v>
      </x:c>
      <x:c r="AA35" t="s">
        <x:v>54</x:v>
      </x:c>
      <x:c r="AB35" t="s">
        <x:v>54</x:v>
      </x:c>
      <x:c r="AC35" t="s">
        <x:v>558</x:v>
      </x:c>
      <x:c r="AD35" t="s">
        <x:v>54</x:v>
      </x:c>
      <x:c r="AE35" t="s">
        <x:v>54</x:v>
      </x:c>
      <x:c r="AF35" t="s">
        <x:v>54</x:v>
      </x:c>
      <x:c r="AG35" t="s">
        <x:v>54</x:v>
      </x:c>
      <x:c r="AH35" t="s">
        <x:v>54</x:v>
      </x:c>
      <x:c r="AI35" t="s">
        <x:v>54</x:v>
      </x:c>
      <x:c r="AJ35" t="s">
        <x:v>54</x:v>
      </x:c>
      <x:c r="AK35" t="s">
        <x:v>54</x:v>
      </x:c>
      <x:c r="AL35" t="s">
        <x:v>54</x:v>
      </x:c>
      <x:c r="AM35" t="s">
        <x:v>54</x:v>
      </x:c>
      <x:c r="AN35" t="s">
        <x:v>54</x:v>
      </x:c>
      <x:c r="AO35" t="s">
        <x:v>54</x:v>
      </x:c>
      <x:c r="AP35" t="s">
        <x:v>54</x:v>
      </x:c>
      <x:c r="AQ35" t="b">
        <x:v>0</x:v>
      </x:c>
      <x:c r="AR35" t="s">
        <x:v>207</x:v>
      </x:c>
      <x:c r="AS35" t="s">
        <x:v>54</x:v>
      </x:c>
      <x:c r="AT35" t="s">
        <x:v>73</x:v>
      </x:c>
      <x:c r="AU35" t="s">
        <x:v>559</x:v>
      </x:c>
      <x:c r="AV35" t="s">
        <x:v>88</x:v>
      </x:c>
      <x:c r="AW35" t="s">
        <x:v>155</x:v>
      </x:c>
      <x:c r="AX35" t="s">
        <x:v>556</x:v>
      </x:c>
      <x:c r="AY35" t="str">
        <x:f>IF(AND(ISNUMBER(SEARCH("Donovan",AC35)),OR(AT35=TRUE,AT35="TRUE"),OR(AQ35=FALSE,AQ35="FALSE")),"YES","NO")</x:f>
        <x:v>YES</x:v>
      </x:c>
      <x:c r="AZ35" t="str">
        <x:f>IF(AND(AY35="YES",LEFT(I35,2)="FF"),"YES","NO")</x:f>
        <x:v>NO</x:v>
      </x:c>
      <x:c r="BA35" t="str">
        <x:f>IF(AZ35&lt;&gt;"YES","Not FF focus",IF(N35&lt;=2,"0-2 Remote Window",IF(N35&lt;=5,"3-5 Client Follow-up",IF(N35=6,"Day 6 Escalate","7+ Overdue"))))</x:f>
        <x:v>Not FF focus</x:v>
      </x:c>
      <x:c r="BB35" t="str">
        <x:f>IF(AZ35&lt;&gt;"YES","Excluded",IF(N35&lt;=2,"On Track",IF(N35&lt;=5,"Warning",IF(N35=6,"Escalate Today","Overdue"))))</x:f>
        <x:v>Excluded</x:v>
      </x:c>
      <x:c r="BC35" t="str">
        <x:f>IF(AY35&lt;&gt;"YES","",IF(ISNUMBER(SEARCH("Quote Sent",P35)),"Follow up quote approval weekly + add JC comment",IF(ISNUMBER(SEARCH("Awaiting install",P35)),"Confirm install date/ETA + update JC",IF(ISNUMBER(SEARCH("Schedule",P35)),"Schedule/confirm tech action",IF(AZ35="YES",IF(N35&lt;=2,"Troubleshoot remotely + comment evidence",IF(N35&lt;=5,"Email/call client + record who/when/outcome","Escalate to Lindy + agree action plan")),"Check current status + add clear JC comment")))))</x:f>
        <x:v>Follow up quote approval weekly + add JC comment</x:v>
      </x:c>
      <x:c r="BD35" t="str">
        <x:f>IF(AZ35="YES",6-N35,"")</x:f>
      </x:c>
      <x:c r="BE35" t="str">
        <x:f>IF(AY35="YES","Comment must show: date, contact person, method, outcome, next action","")</x:f>
        <x:v>Comment must show: date, contact person, method, outcome, next action</x:v>
      </x:c>
      <x:c r="BF35" t="str">
        <x:f>IF(AND(AY35="YES",O35&gt;=7),"Stuck in status 7+ days","")</x:f>
        <x:v>Stuck in status 7+ days</x:v>
      </x:c>
    </x:row>
    <x:row r="36">
      <x:c r="A36" t="s">
        <x:v>109</x:v>
      </x:c>
      <x:c r="B36" t="s">
        <x:v>560</x:v>
      </x:c>
      <x:c r="C36" t="s">
        <x:v>536</x:v>
      </x:c>
      <x:c r="D36" t="s">
        <x:v>537</x:v>
      </x:c>
      <x:c r="E36" t="s">
        <x:v>54</x:v>
      </x:c>
      <x:c r="F36" t="s">
        <x:v>561</x:v>
      </x:c>
      <x:c r="G36" t="s">
        <x:v>562</x:v>
      </x:c>
      <x:c r="H36" t="s">
        <x:v>563</x:v>
      </x:c>
      <x:c r="I36" t="s">
        <x:v>142</x:v>
      </x:c>
      <x:c r="J36" t="s">
        <x:v>541</x:v>
      </x:c>
      <x:c r="K36" t="s">
        <x:v>54</x:v>
      </x:c>
      <x:c r="L36" t="s">
        <x:v>564</x:v>
      </x:c>
      <x:c r="M36" t="s">
        <x:v>565</x:v>
      </x:c>
      <x:c r="N36">
        <x:v>51</x:v>
      </x:c>
      <x:c r="O36">
        <x:v>16</x:v>
      </x:c>
      <x:c r="P36" t="s">
        <x:v>146</x:v>
      </x:c>
      <x:c r="Q36" t="s">
        <x:v>566</x:v>
      </x:c>
      <x:c r="R36" t="s">
        <x:v>54</x:v>
      </x:c>
      <x:c r="S36" t="s">
        <x:v>54</x:v>
      </x:c>
      <x:c r="T36" t="s">
        <x:v>54</x:v>
      </x:c>
      <x:c r="U36" t="s">
        <x:v>567</x:v>
      </x:c>
      <x:c r="V36" t="s">
        <x:v>54</x:v>
      </x:c>
      <x:c r="W36" t="s">
        <x:v>54</x:v>
      </x:c>
      <x:c r="X36" t="s">
        <x:v>54</x:v>
      </x:c>
      <x:c r="Y36" t="s">
        <x:v>54</x:v>
      </x:c>
      <x:c r="Z36" t="s">
        <x:v>54</x:v>
      </x:c>
      <x:c r="AA36" t="s">
        <x:v>54</x:v>
      </x:c>
      <x:c r="AB36" t="s">
        <x:v>54</x:v>
      </x:c>
      <x:c r="AC36" t="s">
        <x:v>166</x:v>
      </x:c>
      <x:c r="AD36" t="s">
        <x:v>54</x:v>
      </x:c>
      <x:c r="AE36" t="s">
        <x:v>54</x:v>
      </x:c>
      <x:c r="AF36" t="s">
        <x:v>54</x:v>
      </x:c>
      <x:c r="AG36" t="s">
        <x:v>54</x:v>
      </x:c>
      <x:c r="AH36" t="s">
        <x:v>54</x:v>
      </x:c>
      <x:c r="AI36" t="s">
        <x:v>54</x:v>
      </x:c>
      <x:c r="AJ36" t="s">
        <x:v>54</x:v>
      </x:c>
      <x:c r="AK36" t="s">
        <x:v>54</x:v>
      </x:c>
      <x:c r="AL36" t="s">
        <x:v>54</x:v>
      </x:c>
      <x:c r="AM36" t="s">
        <x:v>54</x:v>
      </x:c>
      <x:c r="AN36" t="s">
        <x:v>54</x:v>
      </x:c>
      <x:c r="AO36" t="s">
        <x:v>54</x:v>
      </x:c>
      <x:c r="AP36" t="s">
        <x:v>54</x:v>
      </x:c>
      <x:c r="AQ36" t="b">
        <x:v>0</x:v>
      </x:c>
      <x:c r="AR36" t="s">
        <x:v>547</x:v>
      </x:c>
      <x:c r="AS36" t="s">
        <x:v>54</x:v>
      </x:c>
      <x:c r="AT36" t="s">
        <x:v>73</x:v>
      </x:c>
      <x:c r="AU36" t="s">
        <x:v>568</x:v>
      </x:c>
      <x:c r="AV36" t="s">
        <x:v>88</x:v>
      </x:c>
      <x:c r="AW36" t="s">
        <x:v>155</x:v>
      </x:c>
      <x:c r="AX36" t="s">
        <x:v>566</x:v>
      </x:c>
      <x:c r="AY36" t="str">
        <x:f>IF(AND(ISNUMBER(SEARCH("Donovan",AC36)),OR(AT36=TRUE,AT36="TRUE"),OR(AQ36=FALSE,AQ36="FALSE")),"YES","NO")</x:f>
        <x:v>YES</x:v>
      </x:c>
      <x:c r="AZ36" t="str">
        <x:f>IF(AND(AY36="YES",LEFT(I36,2)="FF"),"YES","NO")</x:f>
        <x:v>NO</x:v>
      </x:c>
      <x:c r="BA36" t="str">
        <x:f>IF(AZ36&lt;&gt;"YES","Not FF focus",IF(N36&lt;=2,"0-2 Remote Window",IF(N36&lt;=5,"3-5 Client Follow-up",IF(N36=6,"Day 6 Escalate","7+ Overdue"))))</x:f>
        <x:v>Not FF focus</x:v>
      </x:c>
      <x:c r="BB36" t="str">
        <x:f>IF(AZ36&lt;&gt;"YES","Excluded",IF(N36&lt;=2,"On Track",IF(N36&lt;=5,"Warning",IF(N36=6,"Escalate Today","Overdue"))))</x:f>
        <x:v>Excluded</x:v>
      </x:c>
      <x:c r="BC36" t="str">
        <x:f>IF(AY36&lt;&gt;"YES","",IF(ISNUMBER(SEARCH("Quote Sent",P36)),"Follow up quote approval weekly + add JC comment",IF(ISNUMBER(SEARCH("Awaiting install",P36)),"Confirm install date/ETA + update JC",IF(ISNUMBER(SEARCH("Schedule",P36)),"Schedule/confirm tech action",IF(AZ36="YES",IF(N36&lt;=2,"Troubleshoot remotely + comment evidence",IF(N36&lt;=5,"Email/call client + record who/when/outcome","Escalate to Lindy + agree action plan")),"Check current status + add clear JC comment")))))</x:f>
        <x:v>Follow up quote approval weekly + add JC comment</x:v>
      </x:c>
      <x:c r="BD36" t="str">
        <x:f>IF(AZ36="YES",6-N36,"")</x:f>
      </x:c>
      <x:c r="BE36" t="str">
        <x:f>IF(AY36="YES","Comment must show: date, contact person, method, outcome, next action","")</x:f>
        <x:v>Comment must show: date, contact person, method, outcome, next action</x:v>
      </x:c>
      <x:c r="BF36" t="str">
        <x:f>IF(AND(AY36="YES",O36&gt;=7),"Stuck in status 7+ days","")</x:f>
        <x:v>Stuck in status 7+ days</x:v>
      </x:c>
    </x:row>
    <x:row r="37">
      <x:c r="A37" t="s">
        <x:v>109</x:v>
      </x:c>
      <x:c r="B37" t="s">
        <x:v>569</x:v>
      </x:c>
      <x:c r="C37" t="s">
        <x:v>222</x:v>
      </x:c>
      <x:c r="D37" t="s">
        <x:v>223</x:v>
      </x:c>
      <x:c r="E37" t="s">
        <x:v>54</x:v>
      </x:c>
      <x:c r="F37" t="s">
        <x:v>300</x:v>
      </x:c>
      <x:c r="G37" t="s">
        <x:v>301</x:v>
      </x:c>
      <x:c r="H37" t="s">
        <x:v>302</x:v>
      </x:c>
      <x:c r="I37" t="s">
        <x:v>57</x:v>
      </x:c>
      <x:c r="J37" t="s">
        <x:v>570</x:v>
      </x:c>
      <x:c r="K37" t="s">
        <x:v>54</x:v>
      </x:c>
      <x:c r="L37" t="s">
        <x:v>571</x:v>
      </x:c>
      <x:c r="M37" t="s">
        <x:v>572</x:v>
      </x:c>
      <x:c r="N37">
        <x:v>49</x:v>
      </x:c>
      <x:c r="O37">
        <x:v>29</x:v>
      </x:c>
      <x:c r="P37" t="s">
        <x:v>61</x:v>
      </x:c>
      <x:c r="Q37" t="s">
        <x:v>573</x:v>
      </x:c>
      <x:c r="R37" t="s">
        <x:v>54</x:v>
      </x:c>
      <x:c r="S37" t="s">
        <x:v>54</x:v>
      </x:c>
      <x:c r="T37" t="s">
        <x:v>54</x:v>
      </x:c>
      <x:c r="U37" t="s">
        <x:v>574</x:v>
      </x:c>
      <x:c r="V37" t="s">
        <x:v>54</x:v>
      </x:c>
      <x:c r="W37" t="s">
        <x:v>54</x:v>
      </x:c>
      <x:c r="X37" t="s">
        <x:v>54</x:v>
      </x:c>
      <x:c r="Y37" t="s">
        <x:v>575</x:v>
      </x:c>
      <x:c r="Z37" t="s">
        <x:v>576</x:v>
      </x:c>
      <x:c r="AA37" t="s">
        <x:v>577</x:v>
      </x:c>
      <x:c r="AB37" t="s">
        <x:v>54</x:v>
      </x:c>
      <x:c r="AC37" t="s">
        <x:v>166</x:v>
      </x:c>
      <x:c r="AD37" t="s">
        <x:v>54</x:v>
      </x:c>
      <x:c r="AE37" t="s">
        <x:v>54</x:v>
      </x:c>
      <x:c r="AF37" t="s">
        <x:v>54</x:v>
      </x:c>
      <x:c r="AG37" t="s">
        <x:v>578</x:v>
      </x:c>
      <x:c r="AH37" t="s">
        <x:v>54</x:v>
      </x:c>
      <x:c r="AI37" t="s">
        <x:v>54</x:v>
      </x:c>
      <x:c r="AJ37" t="s">
        <x:v>54</x:v>
      </x:c>
      <x:c r="AK37" t="s">
        <x:v>54</x:v>
      </x:c>
      <x:c r="AL37" t="s">
        <x:v>54</x:v>
      </x:c>
      <x:c r="AM37" t="s">
        <x:v>579</x:v>
      </x:c>
      <x:c r="AN37" t="s">
        <x:v>479</x:v>
      </x:c>
      <x:c r="AO37" t="s">
        <x:v>54</x:v>
      </x:c>
      <x:c r="AP37" t="s">
        <x:v>54</x:v>
      </x:c>
      <x:c r="AQ37" t="b">
        <x:v>0</x:v>
      </x:c>
      <x:c r="AR37" t="s">
        <x:v>314</x:v>
      </x:c>
      <x:c r="AS37" t="s">
        <x:v>54</x:v>
      </x:c>
      <x:c r="AT37" t="s">
        <x:v>73</x:v>
      </x:c>
      <x:c r="AU37" t="s">
        <x:v>580</x:v>
      </x:c>
      <x:c r="AV37" t="s">
        <x:v>75</x:v>
      </x:c>
      <x:c r="AW37" t="s">
        <x:v>76</x:v>
      </x:c>
      <x:c r="AX37" t="s">
        <x:v>573</x:v>
      </x:c>
      <x:c r="AY37" t="str">
        <x:f>IF(AND(ISNUMBER(SEARCH("Donovan",AC37)),OR(AT37=TRUE,AT37="TRUE"),OR(AQ37=FALSE,AQ37="FALSE")),"YES","NO")</x:f>
        <x:v>YES</x:v>
      </x:c>
      <x:c r="AZ37" t="str">
        <x:f>IF(AND(AY37="YES",LEFT(I37,2)="FF"),"YES","NO")</x:f>
        <x:v>YES</x:v>
      </x:c>
      <x:c r="BA37" t="str">
        <x:f>IF(AZ37&lt;&gt;"YES","Not FF focus",IF(N37&lt;=2,"0-2 Remote Window",IF(N37&lt;=5,"3-5 Client Follow-up",IF(N37=6,"Day 6 Escalate","7+ Overdue"))))</x:f>
        <x:v>7+ Overdue</x:v>
      </x:c>
      <x:c r="BB37" t="str">
        <x:f>IF(AZ37&lt;&gt;"YES","Excluded",IF(N37&lt;=2,"On Track",IF(N37&lt;=5,"Warning",IF(N37=6,"Escalate Today","Overdue"))))</x:f>
        <x:v>Overdue</x:v>
      </x:c>
      <x:c r="BC37" t="str">
        <x:f>IF(AY37&lt;&gt;"YES","",IF(ISNUMBER(SEARCH("Quote Sent",P37)),"Follow up quote approval weekly + add JC comment",IF(ISNUMBER(SEARCH("Awaiting install",P37)),"Confirm install date/ETA + update JC",IF(ISNUMBER(SEARCH("Schedule",P37)),"Schedule/confirm tech action",IF(AZ37="YES",IF(N37&lt;=2,"Troubleshoot remotely + comment evidence",IF(N37&lt;=5,"Email/call client + record who/when/outcome","Escalate to Lindy + agree action plan")),"Check current status + add clear JC comment")))))</x:f>
        <x:v>Confirm install date/ETA + update JC</x:v>
      </x:c>
      <x:c r="BD37" t="n">
        <x:f>IF(AZ37="YES",6-N37,"")</x:f>
        <x:v>-43</x:v>
      </x:c>
      <x:c r="BE37" t="str">
        <x:f>IF(AY37="YES","Comment must show: date, contact person, method, outcome, next action","")</x:f>
        <x:v>Comment must show: date, contact person, method, outcome, next action</x:v>
      </x:c>
      <x:c r="BF37" t="str">
        <x:f>IF(AND(AY37="YES",O37&gt;=7),"Stuck in status 7+ days","")</x:f>
        <x:v>Stuck in status 7+ days</x:v>
      </x:c>
    </x:row>
    <x:row r="38">
      <x:c r="A38" t="s">
        <x:v>109</x:v>
      </x:c>
      <x:c r="B38" t="s">
        <x:v>581</x:v>
      </x:c>
      <x:c r="C38" t="s">
        <x:v>582</x:v>
      </x:c>
      <x:c r="D38" t="s">
        <x:v>583</x:v>
      </x:c>
      <x:c r="E38" t="s">
        <x:v>54</x:v>
      </x:c>
      <x:c r="F38" t="s">
        <x:v>584</x:v>
      </x:c>
      <x:c r="G38" t="s">
        <x:v>585</x:v>
      </x:c>
      <x:c r="H38" t="s">
        <x:v>586</x:v>
      </x:c>
      <x:c r="I38" t="s">
        <x:v>57</x:v>
      </x:c>
      <x:c r="J38" t="s">
        <x:v>587</x:v>
      </x:c>
      <x:c r="K38" t="s">
        <x:v>54</x:v>
      </x:c>
      <x:c r="L38" t="s">
        <x:v>588</x:v>
      </x:c>
      <x:c r="M38" t="s">
        <x:v>589</x:v>
      </x:c>
      <x:c r="N38">
        <x:v>43</x:v>
      </x:c>
      <x:c r="O38">
        <x:v>34</x:v>
      </x:c>
      <x:c r="P38" t="s">
        <x:v>230</x:v>
      </x:c>
      <x:c r="Q38" t="s">
        <x:v>590</x:v>
      </x:c>
      <x:c r="R38" t="s">
        <x:v>54</x:v>
      </x:c>
      <x:c r="S38" t="s">
        <x:v>54</x:v>
      </x:c>
      <x:c r="T38" t="s">
        <x:v>54</x:v>
      </x:c>
      <x:c r="U38" t="s">
        <x:v>591</x:v>
      </x:c>
      <x:c r="V38" t="s">
        <x:v>54</x:v>
      </x:c>
      <x:c r="W38" t="s">
        <x:v>54</x:v>
      </x:c>
      <x:c r="X38" t="s">
        <x:v>54</x:v>
      </x:c>
      <x:c r="Y38" t="s">
        <x:v>592</x:v>
      </x:c>
      <x:c r="Z38" t="s">
        <x:v>593</x:v>
      </x:c>
      <x:c r="AA38" t="s">
        <x:v>594</x:v>
      </x:c>
      <x:c r="AB38" t="s">
        <x:v>54</x:v>
      </x:c>
      <x:c r="AC38" t="s">
        <x:v>166</x:v>
      </x:c>
      <x:c r="AD38" t="s">
        <x:v>54</x:v>
      </x:c>
      <x:c r="AE38" t="s">
        <x:v>54</x:v>
      </x:c>
      <x:c r="AF38" t="s">
        <x:v>54</x:v>
      </x:c>
      <x:c r="AG38" t="s">
        <x:v>595</x:v>
      </x:c>
      <x:c r="AH38" t="s">
        <x:v>54</x:v>
      </x:c>
      <x:c r="AI38" t="s">
        <x:v>54</x:v>
      </x:c>
      <x:c r="AJ38" t="s">
        <x:v>54</x:v>
      </x:c>
      <x:c r="AK38" t="s">
        <x:v>54</x:v>
      </x:c>
      <x:c r="AL38" t="s">
        <x:v>54</x:v>
      </x:c>
      <x:c r="AM38" t="s">
        <x:v>596</x:v>
      </x:c>
      <x:c r="AN38" t="s">
        <x:v>597</x:v>
      </x:c>
      <x:c r="AO38" t="s">
        <x:v>54</x:v>
      </x:c>
      <x:c r="AP38" t="s">
        <x:v>54</x:v>
      </x:c>
      <x:c r="AQ38" t="b">
        <x:v>0</x:v>
      </x:c>
      <x:c r="AR38" t="s">
        <x:v>239</x:v>
      </x:c>
      <x:c r="AS38" t="s">
        <x:v>54</x:v>
      </x:c>
      <x:c r="AT38" t="s">
        <x:v>73</x:v>
      </x:c>
      <x:c r="AU38" t="s">
        <x:v>598</x:v>
      </x:c>
      <x:c r="AV38" t="s">
        <x:v>75</x:v>
      </x:c>
      <x:c r="AW38" t="s">
        <x:v>155</x:v>
      </x:c>
      <x:c r="AX38" t="s">
        <x:v>590</x:v>
      </x:c>
      <x:c r="AY38" t="str">
        <x:f>IF(AND(ISNUMBER(SEARCH("Donovan",AC38)),OR(AT38=TRUE,AT38="TRUE"),OR(AQ38=FALSE,AQ38="FALSE")),"YES","NO")</x:f>
        <x:v>YES</x:v>
      </x:c>
      <x:c r="AZ38" t="str">
        <x:f>IF(AND(AY38="YES",LEFT(I38,2)="FF"),"YES","NO")</x:f>
        <x:v>YES</x:v>
      </x:c>
      <x:c r="BA38" t="str">
        <x:f>IF(AZ38&lt;&gt;"YES","Not FF focus",IF(N38&lt;=2,"0-2 Remote Window",IF(N38&lt;=5,"3-5 Client Follow-up",IF(N38=6,"Day 6 Escalate","7+ Overdue"))))</x:f>
        <x:v>7+ Overdue</x:v>
      </x:c>
      <x:c r="BB38" t="str">
        <x:f>IF(AZ38&lt;&gt;"YES","Excluded",IF(N38&lt;=2,"On Track",IF(N38&lt;=5,"Warning",IF(N38=6,"Escalate Today","Overdue"))))</x:f>
        <x:v>Overdue</x:v>
      </x:c>
      <x:c r="BC38" t="str">
        <x:f>IF(AY38&lt;&gt;"YES","",IF(ISNUMBER(SEARCH("Quote Sent",P38)),"Follow up quote approval weekly + add JC comment",IF(ISNUMBER(SEARCH("Awaiting install",P38)),"Confirm install date/ETA + update JC",IF(ISNUMBER(SEARCH("Schedule",P38)),"Schedule/confirm tech action",IF(AZ38="YES",IF(N38&lt;=2,"Troubleshoot remotely + comment evidence",IF(N38&lt;=5,"Email/call client + record who/when/outcome","Escalate to Lindy + agree action plan")),"Check current status + add clear JC comment")))))</x:f>
        <x:v>Follow up quote approval weekly + add JC comment</x:v>
      </x:c>
      <x:c r="BD38" t="n">
        <x:f>IF(AZ38="YES",6-N38,"")</x:f>
        <x:v>-37</x:v>
      </x:c>
      <x:c r="BE38" t="str">
        <x:f>IF(AY38="YES","Comment must show: date, contact person, method, outcome, next action","")</x:f>
        <x:v>Comment must show: date, contact person, method, outcome, next action</x:v>
      </x:c>
      <x:c r="BF38" t="str">
        <x:f>IF(AND(AY38="YES",O38&gt;=7),"Stuck in status 7+ days","")</x:f>
        <x:v>Stuck in status 7+ days</x:v>
      </x:c>
    </x:row>
    <x:row r="39">
      <x:c r="A39" t="s">
        <x:v>109</x:v>
      </x:c>
      <x:c r="B39" t="s">
        <x:v>599</x:v>
      </x:c>
      <x:c r="C39" t="s">
        <x:v>600</x:v>
      </x:c>
      <x:c r="D39" t="s">
        <x:v>601</x:v>
      </x:c>
      <x:c r="E39" t="s">
        <x:v>54</x:v>
      </x:c>
      <x:c r="F39" t="s">
        <x:v>602</x:v>
      </x:c>
      <x:c r="G39" t="s">
        <x:v>603</x:v>
      </x:c>
      <x:c r="H39" t="s">
        <x:v>604</x:v>
      </x:c>
      <x:c r="I39" t="s">
        <x:v>95</x:v>
      </x:c>
      <x:c r="J39" t="s">
        <x:v>605</x:v>
      </x:c>
      <x:c r="K39" t="s">
        <x:v>54</x:v>
      </x:c>
      <x:c r="L39" t="s">
        <x:v>606</x:v>
      </x:c>
      <x:c r="M39" t="s">
        <x:v>607</x:v>
      </x:c>
      <x:c r="N39">
        <x:v>43</x:v>
      </x:c>
      <x:c r="O39">
        <x:v>0</x:v>
      </x:c>
      <x:c r="P39" t="s">
        <x:v>608</x:v>
      </x:c>
      <x:c r="Q39" t="s">
        <x:v>609</x:v>
      </x:c>
      <x:c r="R39" t="s">
        <x:v>54</x:v>
      </x:c>
      <x:c r="S39" t="s">
        <x:v>54</x:v>
      </x:c>
      <x:c r="T39" t="s">
        <x:v>54</x:v>
      </x:c>
      <x:c r="U39" t="s">
        <x:v>54</x:v>
      </x:c>
      <x:c r="V39" t="s">
        <x:v>54</x:v>
      </x:c>
      <x:c r="W39" t="s">
        <x:v>54</x:v>
      </x:c>
      <x:c r="X39" t="s">
        <x:v>54</x:v>
      </x:c>
      <x:c r="Y39" t="s">
        <x:v>610</x:v>
      </x:c>
      <x:c r="Z39" t="s">
        <x:v>611</x:v>
      </x:c>
      <x:c r="AA39" t="s">
        <x:v>612</x:v>
      </x:c>
      <x:c r="AB39" t="s">
        <x:v>54</x:v>
      </x:c>
      <x:c r="AC39" t="s">
        <x:v>613</x:v>
      </x:c>
      <x:c r="AD39" t="s">
        <x:v>54</x:v>
      </x:c>
      <x:c r="AE39" t="s">
        <x:v>54</x:v>
      </x:c>
      <x:c r="AF39" t="s">
        <x:v>54</x:v>
      </x:c>
      <x:c r="AG39" t="s">
        <x:v>614</x:v>
      </x:c>
      <x:c r="AH39" t="s">
        <x:v>54</x:v>
      </x:c>
      <x:c r="AI39" t="s">
        <x:v>54</x:v>
      </x:c>
      <x:c r="AJ39" t="s">
        <x:v>54</x:v>
      </x:c>
      <x:c r="AK39" t="s">
        <x:v>54</x:v>
      </x:c>
      <x:c r="AL39" t="s">
        <x:v>54</x:v>
      </x:c>
      <x:c r="AM39" t="s">
        <x:v>615</x:v>
      </x:c>
      <x:c r="AN39" t="s">
        <x:v>616</x:v>
      </x:c>
      <x:c r="AO39" t="s">
        <x:v>54</x:v>
      </x:c>
      <x:c r="AP39" t="s">
        <x:v>54</x:v>
      </x:c>
      <x:c r="AQ39" t="b">
        <x:v>0</x:v>
      </x:c>
      <x:c r="AR39" t="s">
        <x:v>617</x:v>
      </x:c>
      <x:c r="AS39" t="s">
        <x:v>54</x:v>
      </x:c>
      <x:c r="AT39" t="s">
        <x:v>73</x:v>
      </x:c>
      <x:c r="AU39" t="s">
        <x:v>618</x:v>
      </x:c>
      <x:c r="AV39" t="s">
        <x:v>75</x:v>
      </x:c>
      <x:c r="AW39" t="s">
        <x:v>422</x:v>
      </x:c>
      <x:c r="AX39" t="s">
        <x:v>619</x:v>
      </x:c>
      <x:c r="AY39" t="str">
        <x:f>IF(AND(ISNUMBER(SEARCH("Donovan",AC39)),OR(AT39=TRUE,AT39="TRUE"),OR(AQ39=FALSE,AQ39="FALSE")),"YES","NO")</x:f>
        <x:v>YES</x:v>
      </x:c>
      <x:c r="AZ39" t="str">
        <x:f>IF(AND(AY39="YES",LEFT(I39,2)="FF"),"YES","NO")</x:f>
        <x:v>YES</x:v>
      </x:c>
      <x:c r="BA39" t="str">
        <x:f>IF(AZ39&lt;&gt;"YES","Not FF focus",IF(N39&lt;=2,"0-2 Remote Window",IF(N39&lt;=5,"3-5 Client Follow-up",IF(N39=6,"Day 6 Escalate","7+ Overdue"))))</x:f>
        <x:v>7+ Overdue</x:v>
      </x:c>
      <x:c r="BB39" t="str">
        <x:f>IF(AZ39&lt;&gt;"YES","Excluded",IF(N39&lt;=2,"On Track",IF(N39&lt;=5,"Warning",IF(N39=6,"Escalate Today","Overdue"))))</x:f>
        <x:v>Overdue</x:v>
      </x:c>
      <x:c r="BC39" t="str">
        <x:f>IF(AY39&lt;&gt;"YES","",IF(ISNUMBER(SEARCH("Quote Sent",P39)),"Follow up quote approval weekly + add JC comment",IF(ISNUMBER(SEARCH("Awaiting install",P39)),"Confirm install date/ETA + update JC",IF(ISNUMBER(SEARCH("Schedule",P39)),"Schedule/confirm tech action",IF(AZ39="YES",IF(N39&lt;=2,"Troubleshoot remotely + comment evidence",IF(N39&lt;=5,"Email/call client + record who/when/outcome","Escalate to Lindy + agree action plan")),"Check current status + add clear JC comment")))))</x:f>
        <x:v>Escalate to Lindy + agree action plan</x:v>
      </x:c>
      <x:c r="BD39" t="n">
        <x:f>IF(AZ39="YES",6-N39,"")</x:f>
        <x:v>-37</x:v>
      </x:c>
      <x:c r="BE39" t="str">
        <x:f>IF(AY39="YES","Comment must show: date, contact person, method, outcome, next action","")</x:f>
        <x:v>Comment must show: date, contact person, method, outcome, next action</x:v>
      </x:c>
      <x:c r="BF39" t="str">
        <x:f>IF(AND(AY39="YES",O39&gt;=7),"Stuck in status 7+ days","")</x:f>
      </x:c>
    </x:row>
    <x:row r="40">
      <x:c r="A40" t="s">
        <x:v>109</x:v>
      </x:c>
      <x:c r="B40" t="s">
        <x:v>620</x:v>
      </x:c>
      <x:c r="C40" t="s">
        <x:v>621</x:v>
      </x:c>
      <x:c r="D40" t="s">
        <x:v>622</x:v>
      </x:c>
      <x:c r="E40" t="s">
        <x:v>54</x:v>
      </x:c>
      <x:c r="F40" t="s">
        <x:v>623</x:v>
      </x:c>
      <x:c r="G40" t="s">
        <x:v>624</x:v>
      </x:c>
      <x:c r="H40" t="s">
        <x:v>54</x:v>
      </x:c>
      <x:c r="I40" t="s">
        <x:v>57</x:v>
      </x:c>
      <x:c r="J40" t="s">
        <x:v>625</x:v>
      </x:c>
      <x:c r="K40" t="s">
        <x:v>54</x:v>
      </x:c>
      <x:c r="L40" t="s">
        <x:v>626</x:v>
      </x:c>
      <x:c r="M40" t="s">
        <x:v>627</x:v>
      </x:c>
      <x:c r="N40">
        <x:v>41</x:v>
      </x:c>
      <x:c r="O40">
        <x:v>34</x:v>
      </x:c>
      <x:c r="P40" t="s">
        <x:v>61</x:v>
      </x:c>
      <x:c r="Q40" t="s">
        <x:v>628</x:v>
      </x:c>
      <x:c r="R40" t="s">
        <x:v>54</x:v>
      </x:c>
      <x:c r="S40" t="s">
        <x:v>54</x:v>
      </x:c>
      <x:c r="T40" t="s">
        <x:v>54</x:v>
      </x:c>
      <x:c r="U40" t="s">
        <x:v>629</x:v>
      </x:c>
      <x:c r="V40" t="s">
        <x:v>54</x:v>
      </x:c>
      <x:c r="W40" t="s">
        <x:v>54</x:v>
      </x:c>
      <x:c r="X40" t="s">
        <x:v>54</x:v>
      </x:c>
      <x:c r="Y40" t="s">
        <x:v>630</x:v>
      </x:c>
      <x:c r="Z40" t="s">
        <x:v>631</x:v>
      </x:c>
      <x:c r="AA40" t="s">
        <x:v>632</x:v>
      </x:c>
      <x:c r="AB40" t="s">
        <x:v>85</x:v>
      </x:c>
      <x:c r="AC40" t="s">
        <x:v>68</x:v>
      </x:c>
      <x:c r="AD40" t="s">
        <x:v>54</x:v>
      </x:c>
      <x:c r="AE40" t="s">
        <x:v>54</x:v>
      </x:c>
      <x:c r="AF40" t="s">
        <x:v>54</x:v>
      </x:c>
      <x:c r="AG40" t="s">
        <x:v>633</x:v>
      </x:c>
      <x:c r="AH40" t="s">
        <x:v>54</x:v>
      </x:c>
      <x:c r="AI40" t="s">
        <x:v>54</x:v>
      </x:c>
      <x:c r="AJ40" t="s">
        <x:v>54</x:v>
      </x:c>
      <x:c r="AK40" t="s">
        <x:v>54</x:v>
      </x:c>
      <x:c r="AL40" t="s">
        <x:v>54</x:v>
      </x:c>
      <x:c r="AM40" t="s">
        <x:v>634</x:v>
      </x:c>
      <x:c r="AN40" t="s">
        <x:v>635</x:v>
      </x:c>
      <x:c r="AO40" t="s">
        <x:v>54</x:v>
      </x:c>
      <x:c r="AP40" t="s">
        <x:v>54</x:v>
      </x:c>
      <x:c r="AQ40" t="b">
        <x:v>0</x:v>
      </x:c>
      <x:c r="AR40" t="s">
        <x:v>314</x:v>
      </x:c>
      <x:c r="AS40" t="s">
        <x:v>54</x:v>
      </x:c>
      <x:c r="AT40" t="s">
        <x:v>73</x:v>
      </x:c>
      <x:c r="AU40" t="s">
        <x:v>636</x:v>
      </x:c>
      <x:c r="AV40" t="s">
        <x:v>75</x:v>
      </x:c>
      <x:c r="AW40" t="s">
        <x:v>422</x:v>
      </x:c>
      <x:c r="AX40" t="s">
        <x:v>637</x:v>
      </x:c>
      <x:c r="AY40" t="str">
        <x:f>IF(AND(ISNUMBER(SEARCH("Donovan",AC40)),OR(AT40=TRUE,AT40="TRUE"),OR(AQ40=FALSE,AQ40="FALSE")),"YES","NO")</x:f>
        <x:v>YES</x:v>
      </x:c>
      <x:c r="AZ40" t="str">
        <x:f>IF(AND(AY40="YES",LEFT(I40,2)="FF"),"YES","NO")</x:f>
        <x:v>YES</x:v>
      </x:c>
      <x:c r="BA40" t="str">
        <x:f>IF(AZ40&lt;&gt;"YES","Not FF focus",IF(N40&lt;=2,"0-2 Remote Window",IF(N40&lt;=5,"3-5 Client Follow-up",IF(N40=6,"Day 6 Escalate","7+ Overdue"))))</x:f>
        <x:v>7+ Overdue</x:v>
      </x:c>
      <x:c r="BB40" t="str">
        <x:f>IF(AZ40&lt;&gt;"YES","Excluded",IF(N40&lt;=2,"On Track",IF(N40&lt;=5,"Warning",IF(N40=6,"Escalate Today","Overdue"))))</x:f>
        <x:v>Overdue</x:v>
      </x:c>
      <x:c r="BC40" t="str">
        <x:f>IF(AY40&lt;&gt;"YES","",IF(ISNUMBER(SEARCH("Quote Sent",P40)),"Follow up quote approval weekly + add JC comment",IF(ISNUMBER(SEARCH("Awaiting install",P40)),"Confirm install date/ETA + update JC",IF(ISNUMBER(SEARCH("Schedule",P40)),"Schedule/confirm tech action",IF(AZ40="YES",IF(N40&lt;=2,"Troubleshoot remotely + comment evidence",IF(N40&lt;=5,"Email/call client + record who/when/outcome","Escalate to Lindy + agree action plan")),"Check current status + add clear JC comment")))))</x:f>
        <x:v>Confirm install date/ETA + update JC</x:v>
      </x:c>
      <x:c r="BD40" t="n">
        <x:f>IF(AZ40="YES",6-N40,"")</x:f>
        <x:v>-35</x:v>
      </x:c>
      <x:c r="BE40" t="str">
        <x:f>IF(AY40="YES","Comment must show: date, contact person, method, outcome, next action","")</x:f>
        <x:v>Comment must show: date, contact person, method, outcome, next action</x:v>
      </x:c>
      <x:c r="BF40" t="str">
        <x:f>IF(AND(AY40="YES",O40&gt;=7),"Stuck in status 7+ days","")</x:f>
        <x:v>Stuck in status 7+ days</x:v>
      </x:c>
    </x:row>
    <x:row r="41">
      <x:c r="A41" t="s">
        <x:v>109</x:v>
      </x:c>
      <x:c r="B41" t="s">
        <x:v>638</x:v>
      </x:c>
      <x:c r="C41" t="s">
        <x:v>264</x:v>
      </x:c>
      <x:c r="D41" t="s">
        <x:v>265</x:v>
      </x:c>
      <x:c r="E41" t="s">
        <x:v>54</x:v>
      </x:c>
      <x:c r="F41" t="s">
        <x:v>266</x:v>
      </x:c>
      <x:c r="G41" t="s">
        <x:v>267</x:v>
      </x:c>
      <x:c r="H41" t="s">
        <x:v>54</x:v>
      </x:c>
      <x:c r="I41" t="s">
        <x:v>57</x:v>
      </x:c>
      <x:c r="J41" t="s">
        <x:v>639</x:v>
      </x:c>
      <x:c r="K41" t="s">
        <x:v>54</x:v>
      </x:c>
      <x:c r="L41" t="s">
        <x:v>640</x:v>
      </x:c>
      <x:c r="M41" t="s">
        <x:v>641</x:v>
      </x:c>
      <x:c r="N41">
        <x:v>41</x:v>
      </x:c>
      <x:c r="O41">
        <x:v>16</x:v>
      </x:c>
      <x:c r="P41" t="s">
        <x:v>230</x:v>
      </x:c>
      <x:c r="Q41" t="s">
        <x:v>642</x:v>
      </x:c>
      <x:c r="R41" t="s">
        <x:v>54</x:v>
      </x:c>
      <x:c r="S41" t="s">
        <x:v>54</x:v>
      </x:c>
      <x:c r="T41" t="s">
        <x:v>54</x:v>
      </x:c>
      <x:c r="U41" t="s">
        <x:v>643</x:v>
      </x:c>
      <x:c r="V41" t="s">
        <x:v>54</x:v>
      </x:c>
      <x:c r="W41" t="s">
        <x:v>54</x:v>
      </x:c>
      <x:c r="X41" t="s">
        <x:v>54</x:v>
      </x:c>
      <x:c r="Y41" t="s">
        <x:v>644</x:v>
      </x:c>
      <x:c r="Z41" t="s">
        <x:v>645</x:v>
      </x:c>
      <x:c r="AA41" t="s">
        <x:v>646</x:v>
      </x:c>
      <x:c r="AB41" t="s">
        <x:v>54</x:v>
      </x:c>
      <x:c r="AC41" t="s">
        <x:v>166</x:v>
      </x:c>
      <x:c r="AD41" t="s">
        <x:v>54</x:v>
      </x:c>
      <x:c r="AE41" t="s">
        <x:v>54</x:v>
      </x:c>
      <x:c r="AF41" t="s">
        <x:v>54</x:v>
      </x:c>
      <x:c r="AG41" t="s">
        <x:v>647</x:v>
      </x:c>
      <x:c r="AH41" t="s">
        <x:v>54</x:v>
      </x:c>
      <x:c r="AI41" t="s">
        <x:v>54</x:v>
      </x:c>
      <x:c r="AJ41" t="s">
        <x:v>54</x:v>
      </x:c>
      <x:c r="AK41" t="s">
        <x:v>54</x:v>
      </x:c>
      <x:c r="AL41" t="s">
        <x:v>54</x:v>
      </x:c>
      <x:c r="AM41" t="s">
        <x:v>497</x:v>
      </x:c>
      <x:c r="AN41" t="s">
        <x:v>648</x:v>
      </x:c>
      <x:c r="AO41" t="s">
        <x:v>54</x:v>
      </x:c>
      <x:c r="AP41" t="s">
        <x:v>54</x:v>
      </x:c>
      <x:c r="AQ41" t="b">
        <x:v>0</x:v>
      </x:c>
      <x:c r="AR41" t="s">
        <x:v>239</x:v>
      </x:c>
      <x:c r="AS41" t="s">
        <x:v>54</x:v>
      </x:c>
      <x:c r="AT41" t="s">
        <x:v>73</x:v>
      </x:c>
      <x:c r="AU41" t="s">
        <x:v>649</x:v>
      </x:c>
      <x:c r="AV41" t="s">
        <x:v>75</x:v>
      </x:c>
      <x:c r="AW41" t="s">
        <x:v>155</x:v>
      </x:c>
      <x:c r="AX41" t="s">
        <x:v>642</x:v>
      </x:c>
      <x:c r="AY41" t="str">
        <x:f>IF(AND(ISNUMBER(SEARCH("Donovan",AC41)),OR(AT41=TRUE,AT41="TRUE"),OR(AQ41=FALSE,AQ41="FALSE")),"YES","NO")</x:f>
        <x:v>YES</x:v>
      </x:c>
      <x:c r="AZ41" t="str">
        <x:f>IF(AND(AY41="YES",LEFT(I41,2)="FF"),"YES","NO")</x:f>
        <x:v>YES</x:v>
      </x:c>
      <x:c r="BA41" t="str">
        <x:f>IF(AZ41&lt;&gt;"YES","Not FF focus",IF(N41&lt;=2,"0-2 Remote Window",IF(N41&lt;=5,"3-5 Client Follow-up",IF(N41=6,"Day 6 Escalate","7+ Overdue"))))</x:f>
        <x:v>7+ Overdue</x:v>
      </x:c>
      <x:c r="BB41" t="str">
        <x:f>IF(AZ41&lt;&gt;"YES","Excluded",IF(N41&lt;=2,"On Track",IF(N41&lt;=5,"Warning",IF(N41=6,"Escalate Today","Overdue"))))</x:f>
        <x:v>Overdue</x:v>
      </x:c>
      <x:c r="BC41" t="str">
        <x:f>IF(AY41&lt;&gt;"YES","",IF(ISNUMBER(SEARCH("Quote Sent",P41)),"Follow up quote approval weekly + add JC comment",IF(ISNUMBER(SEARCH("Awaiting install",P41)),"Confirm install date/ETA + update JC",IF(ISNUMBER(SEARCH("Schedule",P41)),"Schedule/confirm tech action",IF(AZ41="YES",IF(N41&lt;=2,"Troubleshoot remotely + comment evidence",IF(N41&lt;=5,"Email/call client + record who/when/outcome","Escalate to Lindy + agree action plan")),"Check current status + add clear JC comment")))))</x:f>
        <x:v>Follow up quote approval weekly + add JC comment</x:v>
      </x:c>
      <x:c r="BD41" t="n">
        <x:f>IF(AZ41="YES",6-N41,"")</x:f>
        <x:v>-35</x:v>
      </x:c>
      <x:c r="BE41" t="str">
        <x:f>IF(AY41="YES","Comment must show: date, contact person, method, outcome, next action","")</x:f>
        <x:v>Comment must show: date, contact person, method, outcome, next action</x:v>
      </x:c>
      <x:c r="BF41" t="str">
        <x:f>IF(AND(AY41="YES",O41&gt;=7),"Stuck in status 7+ days","")</x:f>
        <x:v>Stuck in status 7+ days</x:v>
      </x:c>
    </x:row>
    <x:row r="42">
      <x:c r="A42" t="s">
        <x:v>109</x:v>
      </x:c>
      <x:c r="B42" t="s">
        <x:v>650</x:v>
      </x:c>
      <x:c r="C42" t="s">
        <x:v>336</x:v>
      </x:c>
      <x:c r="D42" t="s">
        <x:v>337</x:v>
      </x:c>
      <x:c r="E42" t="s">
        <x:v>54</x:v>
      </x:c>
      <x:c r="F42" t="s">
        <x:v>651</x:v>
      </x:c>
      <x:c r="G42" t="s">
        <x:v>652</x:v>
      </x:c>
      <x:c r="H42" t="s">
        <x:v>54</x:v>
      </x:c>
      <x:c r="I42" t="s">
        <x:v>409</x:v>
      </x:c>
      <x:c r="J42" t="s">
        <x:v>653</x:v>
      </x:c>
      <x:c r="K42" t="s">
        <x:v>54</x:v>
      </x:c>
      <x:c r="L42" t="s">
        <x:v>342</x:v>
      </x:c>
      <x:c r="M42" t="s">
        <x:v>654</x:v>
      </x:c>
      <x:c r="N42">
        <x:v>41</x:v>
      </x:c>
      <x:c r="O42">
        <x:v>21</x:v>
      </x:c>
      <x:c r="P42" t="s">
        <x:v>99</x:v>
      </x:c>
      <x:c r="Q42" t="s">
        <x:v>655</x:v>
      </x:c>
      <x:c r="R42" t="s">
        <x:v>54</x:v>
      </x:c>
      <x:c r="S42" t="s">
        <x:v>54</x:v>
      </x:c>
      <x:c r="T42" t="s">
        <x:v>54</x:v>
      </x:c>
      <x:c r="U42" t="s">
        <x:v>54</x:v>
      </x:c>
      <x:c r="V42" t="s">
        <x:v>54</x:v>
      </x:c>
      <x:c r="W42" t="s">
        <x:v>54</x:v>
      </x:c>
      <x:c r="X42" t="s">
        <x:v>54</x:v>
      </x:c>
      <x:c r="Y42" t="s">
        <x:v>656</x:v>
      </x:c>
      <x:c r="Z42" t="s">
        <x:v>657</x:v>
      </x:c>
      <x:c r="AA42" t="s">
        <x:v>658</x:v>
      </x:c>
      <x:c r="AB42" t="s">
        <x:v>54</x:v>
      </x:c>
      <x:c r="AC42" t="s">
        <x:v>122</x:v>
      </x:c>
      <x:c r="AD42" t="s">
        <x:v>54</x:v>
      </x:c>
      <x:c r="AE42" t="s">
        <x:v>54</x:v>
      </x:c>
      <x:c r="AF42" t="s">
        <x:v>54</x:v>
      </x:c>
      <x:c r="AG42" t="s">
        <x:v>659</x:v>
      </x:c>
      <x:c r="AH42" t="s">
        <x:v>54</x:v>
      </x:c>
      <x:c r="AI42" t="s">
        <x:v>54</x:v>
      </x:c>
      <x:c r="AJ42" t="s">
        <x:v>54</x:v>
      </x:c>
      <x:c r="AK42" t="s">
        <x:v>54</x:v>
      </x:c>
      <x:c r="AL42" t="s">
        <x:v>54</x:v>
      </x:c>
      <x:c r="AM42" t="s">
        <x:v>660</x:v>
      </x:c>
      <x:c r="AN42" t="s">
        <x:v>383</x:v>
      </x:c>
      <x:c r="AO42" t="s">
        <x:v>54</x:v>
      </x:c>
      <x:c r="AP42" t="s">
        <x:v>54</x:v>
      </x:c>
      <x:c r="AQ42" t="b">
        <x:v>0</x:v>
      </x:c>
      <x:c r="AR42" t="s">
        <x:v>108</x:v>
      </x:c>
      <x:c r="AS42" t="s">
        <x:v>54</x:v>
      </x:c>
      <x:c r="AT42" t="s">
        <x:v>73</x:v>
      </x:c>
      <x:c r="AU42" t="s">
        <x:v>661</x:v>
      </x:c>
      <x:c r="AV42" t="s">
        <x:v>75</x:v>
      </x:c>
      <x:c r="AW42" t="s">
        <x:v>75</x:v>
      </x:c>
      <x:c r="AX42" t="s">
        <x:v>662</x:v>
      </x:c>
      <x:c r="AY42" t="str">
        <x:f>IF(AND(ISNUMBER(SEARCH("Donovan",AC42)),OR(AT42=TRUE,AT42="TRUE"),OR(AQ42=FALSE,AQ42="FALSE")),"YES","NO")</x:f>
        <x:v>YES</x:v>
      </x:c>
      <x:c r="AZ42" t="str">
        <x:f>IF(AND(AY42="YES",LEFT(I42,2)="FF"),"YES","NO")</x:f>
        <x:v>YES</x:v>
      </x:c>
      <x:c r="BA42" t="str">
        <x:f>IF(AZ42&lt;&gt;"YES","Not FF focus",IF(N42&lt;=2,"0-2 Remote Window",IF(N42&lt;=5,"3-5 Client Follow-up",IF(N42=6,"Day 6 Escalate","7+ Overdue"))))</x:f>
        <x:v>7+ Overdue</x:v>
      </x:c>
      <x:c r="BB42" t="str">
        <x:f>IF(AZ42&lt;&gt;"YES","Excluded",IF(N42&lt;=2,"On Track",IF(N42&lt;=5,"Warning",IF(N42=6,"Escalate Today","Overdue"))))</x:f>
        <x:v>Overdue</x:v>
      </x:c>
      <x:c r="BC42" t="str">
        <x:f>IF(AY42&lt;&gt;"YES","",IF(ISNUMBER(SEARCH("Quote Sent",P42)),"Follow up quote approval weekly + add JC comment",IF(ISNUMBER(SEARCH("Awaiting install",P42)),"Confirm install date/ETA + update JC",IF(ISNUMBER(SEARCH("Schedule",P42)),"Schedule/confirm tech action",IF(AZ42="YES",IF(N42&lt;=2,"Troubleshoot remotely + comment evidence",IF(N42&lt;=5,"Email/call client + record who/when/outcome","Escalate to Lindy + agree action plan")),"Check current status + add clear JC comment")))))</x:f>
        <x:v>Schedule/confirm tech action</x:v>
      </x:c>
      <x:c r="BD42" t="n">
        <x:f>IF(AZ42="YES",6-N42,"")</x:f>
        <x:v>-35</x:v>
      </x:c>
      <x:c r="BE42" t="str">
        <x:f>IF(AY42="YES","Comment must show: date, contact person, method, outcome, next action","")</x:f>
        <x:v>Comment must show: date, contact person, method, outcome, next action</x:v>
      </x:c>
      <x:c r="BF42" t="str">
        <x:f>IF(AND(AY42="YES",O42&gt;=7),"Stuck in status 7+ days","")</x:f>
        <x:v>Stuck in status 7+ days</x:v>
      </x:c>
    </x:row>
    <x:row r="43">
      <x:c r="A43" t="s">
        <x:v>109</x:v>
      </x:c>
      <x:c r="B43" t="s">
        <x:v>663</x:v>
      </x:c>
      <x:c r="C43" t="s">
        <x:v>664</x:v>
      </x:c>
      <x:c r="D43" t="s">
        <x:v>665</x:v>
      </x:c>
      <x:c r="E43" t="s">
        <x:v>54</x:v>
      </x:c>
      <x:c r="F43" t="s">
        <x:v>666</x:v>
      </x:c>
      <x:c r="G43" t="s">
        <x:v>667</x:v>
      </x:c>
      <x:c r="H43" t="s">
        <x:v>54</x:v>
      </x:c>
      <x:c r="I43" t="s">
        <x:v>522</x:v>
      </x:c>
      <x:c r="J43" t="s">
        <x:v>668</x:v>
      </x:c>
      <x:c r="K43" t="s">
        <x:v>54</x:v>
      </x:c>
      <x:c r="L43" t="s">
        <x:v>669</x:v>
      </x:c>
      <x:c r="M43" t="s">
        <x:v>670</x:v>
      </x:c>
      <x:c r="N43">
        <x:v>38</x:v>
      </x:c>
      <x:c r="O43">
        <x:v>35</x:v>
      </x:c>
      <x:c r="P43" t="s">
        <x:v>526</x:v>
      </x:c>
      <x:c r="Q43" t="s">
        <x:v>671</x:v>
      </x:c>
      <x:c r="R43" t="s">
        <x:v>54</x:v>
      </x:c>
      <x:c r="S43" t="s">
        <x:v>54</x:v>
      </x:c>
      <x:c r="T43" t="s">
        <x:v>54</x:v>
      </x:c>
      <x:c r="U43" t="s">
        <x:v>54</x:v>
      </x:c>
      <x:c r="V43" t="s">
        <x:v>54</x:v>
      </x:c>
      <x:c r="W43" t="s">
        <x:v>54</x:v>
      </x:c>
      <x:c r="X43" t="s">
        <x:v>54</x:v>
      </x:c>
      <x:c r="Y43" t="s">
        <x:v>672</x:v>
      </x:c>
      <x:c r="Z43" t="s">
        <x:v>673</x:v>
      </x:c>
      <x:c r="AA43" t="s">
        <x:v>674</x:v>
      </x:c>
      <x:c r="AB43" t="s">
        <x:v>54</x:v>
      </x:c>
      <x:c r="AC43" t="s">
        <x:v>675</x:v>
      </x:c>
      <x:c r="AD43" t="s">
        <x:v>54</x:v>
      </x:c>
      <x:c r="AE43" t="s">
        <x:v>54</x:v>
      </x:c>
      <x:c r="AF43" t="s">
        <x:v>54</x:v>
      </x:c>
      <x:c r="AG43" t="s">
        <x:v>676</x:v>
      </x:c>
      <x:c r="AH43" t="s">
        <x:v>54</x:v>
      </x:c>
      <x:c r="AI43" t="s">
        <x:v>54</x:v>
      </x:c>
      <x:c r="AJ43" t="s">
        <x:v>54</x:v>
      </x:c>
      <x:c r="AK43" t="s">
        <x:v>54</x:v>
      </x:c>
      <x:c r="AL43" t="s">
        <x:v>54</x:v>
      </x:c>
      <x:c r="AM43" t="s">
        <x:v>677</x:v>
      </x:c>
      <x:c r="AN43" t="s">
        <x:v>678</x:v>
      </x:c>
      <x:c r="AO43" t="s">
        <x:v>54</x:v>
      </x:c>
      <x:c r="AP43" t="s">
        <x:v>54</x:v>
      </x:c>
      <x:c r="AQ43" t="b">
        <x:v>0</x:v>
      </x:c>
      <x:c r="AR43" t="s">
        <x:v>533</x:v>
      </x:c>
      <x:c r="AS43" t="s">
        <x:v>54</x:v>
      </x:c>
      <x:c r="AT43" t="s">
        <x:v>73</x:v>
      </x:c>
      <x:c r="AU43" t="s">
        <x:v>679</x:v>
      </x:c>
      <x:c r="AV43" t="s">
        <x:v>75</x:v>
      </x:c>
      <x:c r="AW43" t="s">
        <x:v>88</x:v>
      </x:c>
      <x:c r="AX43" t="s">
        <x:v>671</x:v>
      </x:c>
      <x:c r="AY43" t="str">
        <x:f>IF(AND(ISNUMBER(SEARCH("Donovan",AC43)),OR(AT43=TRUE,AT43="TRUE"),OR(AQ43=FALSE,AQ43="FALSE")),"YES","NO")</x:f>
        <x:v>YES</x:v>
      </x:c>
      <x:c r="AZ43" t="str">
        <x:f>IF(AND(AY43="YES",LEFT(I43,2)="FF"),"YES","NO")</x:f>
        <x:v>YES</x:v>
      </x:c>
      <x:c r="BA43" t="str">
        <x:f>IF(AZ43&lt;&gt;"YES","Not FF focus",IF(N43&lt;=2,"0-2 Remote Window",IF(N43&lt;=5,"3-5 Client Follow-up",IF(N43=6,"Day 6 Escalate","7+ Overdue"))))</x:f>
        <x:v>7+ Overdue</x:v>
      </x:c>
      <x:c r="BB43" t="str">
        <x:f>IF(AZ43&lt;&gt;"YES","Excluded",IF(N43&lt;=2,"On Track",IF(N43&lt;=5,"Warning",IF(N43=6,"Escalate Today","Overdue"))))</x:f>
        <x:v>Overdue</x:v>
      </x:c>
      <x:c r="BC43" t="str">
        <x:f>IF(AY43&lt;&gt;"YES","",IF(ISNUMBER(SEARCH("Quote Sent",P43)),"Follow up quote approval weekly + add JC comment",IF(ISNUMBER(SEARCH("Awaiting install",P43)),"Confirm install date/ETA + update JC",IF(ISNUMBER(SEARCH("Schedule",P43)),"Schedule/confirm tech action",IF(AZ43="YES",IF(N43&lt;=2,"Troubleshoot remotely + comment evidence",IF(N43&lt;=5,"Email/call client + record who/when/outcome","Escalate to Lindy + agree action plan")),"Check current status + add clear JC comment")))))</x:f>
        <x:v>Escalate to Lindy + agree action plan</x:v>
      </x:c>
      <x:c r="BD43" t="n">
        <x:f>IF(AZ43="YES",6-N43,"")</x:f>
        <x:v>-32</x:v>
      </x:c>
      <x:c r="BE43" t="str">
        <x:f>IF(AY43="YES","Comment must show: date, contact person, method, outcome, next action","")</x:f>
        <x:v>Comment must show: date, contact person, method, outcome, next action</x:v>
      </x:c>
      <x:c r="BF43" t="str">
        <x:f>IF(AND(AY43="YES",O43&gt;=7),"Stuck in status 7+ days","")</x:f>
        <x:v>Stuck in status 7+ days</x:v>
      </x:c>
    </x:row>
    <x:row r="44">
      <x:c r="A44" t="s">
        <x:v>109</x:v>
      </x:c>
      <x:c r="B44" t="s">
        <x:v>680</x:v>
      </x:c>
      <x:c r="C44" t="s">
        <x:v>536</x:v>
      </x:c>
      <x:c r="D44" t="s">
        <x:v>537</x:v>
      </x:c>
      <x:c r="E44" t="s">
        <x:v>54</x:v>
      </x:c>
      <x:c r="F44" t="s">
        <x:v>681</x:v>
      </x:c>
      <x:c r="G44" t="s">
        <x:v>682</x:v>
      </x:c>
      <x:c r="H44" t="s">
        <x:v>683</x:v>
      </x:c>
      <x:c r="I44" t="s">
        <x:v>142</x:v>
      </x:c>
      <x:c r="J44" t="s">
        <x:v>541</x:v>
      </x:c>
      <x:c r="K44" t="s">
        <x:v>54</x:v>
      </x:c>
      <x:c r="L44" t="s">
        <x:v>684</x:v>
      </x:c>
      <x:c r="M44" t="s">
        <x:v>685</x:v>
      </x:c>
      <x:c r="N44">
        <x:v>38</x:v>
      </x:c>
      <x:c r="O44">
        <x:v>21</x:v>
      </x:c>
      <x:c r="P44" t="s">
        <x:v>686</x:v>
      </x:c>
      <x:c r="Q44" t="s">
        <x:v>687</x:v>
      </x:c>
      <x:c r="R44" t="s">
        <x:v>54</x:v>
      </x:c>
      <x:c r="S44" t="s">
        <x:v>54</x:v>
      </x:c>
      <x:c r="T44" t="s">
        <x:v>54</x:v>
      </x:c>
      <x:c r="U44" t="s">
        <x:v>54</x:v>
      </x:c>
      <x:c r="V44" t="s">
        <x:v>54</x:v>
      </x:c>
      <x:c r="W44" t="s">
        <x:v>54</x:v>
      </x:c>
      <x:c r="X44" t="s">
        <x:v>54</x:v>
      </x:c>
      <x:c r="Y44" t="s">
        <x:v>54</x:v>
      </x:c>
      <x:c r="Z44" t="s">
        <x:v>54</x:v>
      </x:c>
      <x:c r="AA44" t="s">
        <x:v>54</x:v>
      </x:c>
      <x:c r="AB44" t="s">
        <x:v>54</x:v>
      </x:c>
      <x:c r="AC44" t="s">
        <x:v>291</x:v>
      </x:c>
      <x:c r="AD44" t="s">
        <x:v>54</x:v>
      </x:c>
      <x:c r="AE44" t="s">
        <x:v>54</x:v>
      </x:c>
      <x:c r="AF44" t="s">
        <x:v>54</x:v>
      </x:c>
      <x:c r="AG44" t="s">
        <x:v>54</x:v>
      </x:c>
      <x:c r="AH44" t="s">
        <x:v>54</x:v>
      </x:c>
      <x:c r="AI44" t="s">
        <x:v>54</x:v>
      </x:c>
      <x:c r="AJ44" t="s">
        <x:v>54</x:v>
      </x:c>
      <x:c r="AK44" t="s">
        <x:v>54</x:v>
      </x:c>
      <x:c r="AL44" t="s">
        <x:v>54</x:v>
      </x:c>
      <x:c r="AM44" t="s">
        <x:v>54</x:v>
      </x:c>
      <x:c r="AN44" t="s">
        <x:v>54</x:v>
      </x:c>
      <x:c r="AO44" t="s">
        <x:v>54</x:v>
      </x:c>
      <x:c r="AP44" t="s">
        <x:v>54</x:v>
      </x:c>
      <x:c r="AQ44" t="b">
        <x:v>0</x:v>
      </x:c>
      <x:c r="AR44" t="s">
        <x:v>688</x:v>
      </x:c>
      <x:c r="AS44" t="s">
        <x:v>54</x:v>
      </x:c>
      <x:c r="AT44" t="s">
        <x:v>73</x:v>
      </x:c>
      <x:c r="AU44" t="s">
        <x:v>689</x:v>
      </x:c>
      <x:c r="AV44" t="s">
        <x:v>88</x:v>
      </x:c>
      <x:c r="AW44" t="s">
        <x:v>88</x:v>
      </x:c>
      <x:c r="AX44" t="s">
        <x:v>687</x:v>
      </x:c>
      <x:c r="AY44" t="str">
        <x:f>IF(AND(ISNUMBER(SEARCH("Donovan",AC44)),OR(AT44=TRUE,AT44="TRUE"),OR(AQ44=FALSE,AQ44="FALSE")),"YES","NO")</x:f>
        <x:v>YES</x:v>
      </x:c>
      <x:c r="AZ44" t="str">
        <x:f>IF(AND(AY44="YES",LEFT(I44,2)="FF"),"YES","NO")</x:f>
        <x:v>NO</x:v>
      </x:c>
      <x:c r="BA44" t="str">
        <x:f>IF(AZ44&lt;&gt;"YES","Not FF focus",IF(N44&lt;=2,"0-2 Remote Window",IF(N44&lt;=5,"3-5 Client Follow-up",IF(N44=6,"Day 6 Escalate","7+ Overdue"))))</x:f>
        <x:v>Not FF focus</x:v>
      </x:c>
      <x:c r="BB44" t="str">
        <x:f>IF(AZ44&lt;&gt;"YES","Excluded",IF(N44&lt;=2,"On Track",IF(N44&lt;=5,"Warning",IF(N44=6,"Escalate Today","Overdue"))))</x:f>
        <x:v>Excluded</x:v>
      </x:c>
      <x:c r="BC44" t="str">
        <x:f>IF(AY44&lt;&gt;"YES","",IF(ISNUMBER(SEARCH("Quote Sent",P44)),"Follow up quote approval weekly + add JC comment",IF(ISNUMBER(SEARCH("Awaiting install",P44)),"Confirm install date/ETA + update JC",IF(ISNUMBER(SEARCH("Schedule",P44)),"Schedule/confirm tech action",IF(AZ44="YES",IF(N44&lt;=2,"Troubleshoot remotely + comment evidence",IF(N44&lt;=5,"Email/call client + record who/when/outcome","Escalate to Lindy + agree action plan")),"Check current status + add clear JC comment")))))</x:f>
        <x:v>Schedule/confirm tech action</x:v>
      </x:c>
      <x:c r="BD44" t="str">
        <x:f>IF(AZ44="YES",6-N44,"")</x:f>
      </x:c>
      <x:c r="BE44" t="str">
        <x:f>IF(AY44="YES","Comment must show: date, contact person, method, outcome, next action","")</x:f>
        <x:v>Comment must show: date, contact person, method, outcome, next action</x:v>
      </x:c>
      <x:c r="BF44" t="str">
        <x:f>IF(AND(AY44="YES",O44&gt;=7),"Stuck in status 7+ days","")</x:f>
        <x:v>Stuck in status 7+ days</x:v>
      </x:c>
    </x:row>
    <x:row r="45">
      <x:c r="A45" t="s">
        <x:v>109</x:v>
      </x:c>
      <x:c r="B45" t="s">
        <x:v>690</x:v>
      </x:c>
      <x:c r="C45" t="s">
        <x:v>222</x:v>
      </x:c>
      <x:c r="D45" t="s">
        <x:v>223</x:v>
      </x:c>
      <x:c r="E45" t="s">
        <x:v>54</x:v>
      </x:c>
      <x:c r="F45" t="s">
        <x:v>300</x:v>
      </x:c>
      <x:c r="G45" t="s">
        <x:v>301</x:v>
      </x:c>
      <x:c r="H45" t="s">
        <x:v>302</x:v>
      </x:c>
      <x:c r="I45" t="s">
        <x:v>57</x:v>
      </x:c>
      <x:c r="J45" t="s">
        <x:v>691</x:v>
      </x:c>
      <x:c r="K45" t="s">
        <x:v>54</x:v>
      </x:c>
      <x:c r="L45" t="s">
        <x:v>692</x:v>
      </x:c>
      <x:c r="M45" t="s">
        <x:v>693</x:v>
      </x:c>
      <x:c r="N45">
        <x:v>37</x:v>
      </x:c>
      <x:c r="O45">
        <x:v>29</x:v>
      </x:c>
      <x:c r="P45" t="s">
        <x:v>61</x:v>
      </x:c>
      <x:c r="Q45" t="s">
        <x:v>694</x:v>
      </x:c>
      <x:c r="R45" t="s">
        <x:v>54</x:v>
      </x:c>
      <x:c r="S45" t="s">
        <x:v>54</x:v>
      </x:c>
      <x:c r="T45" t="s">
        <x:v>54</x:v>
      </x:c>
      <x:c r="U45" t="s">
        <x:v>695</x:v>
      </x:c>
      <x:c r="V45" t="s">
        <x:v>54</x:v>
      </x:c>
      <x:c r="W45" t="s">
        <x:v>54</x:v>
      </x:c>
      <x:c r="X45" t="s">
        <x:v>54</x:v>
      </x:c>
      <x:c r="Y45" t="s">
        <x:v>696</x:v>
      </x:c>
      <x:c r="Z45" t="s">
        <x:v>697</x:v>
      </x:c>
      <x:c r="AA45" t="s">
        <x:v>698</x:v>
      </x:c>
      <x:c r="AB45" t="s">
        <x:v>85</x:v>
      </x:c>
      <x:c r="AC45" t="s">
        <x:v>166</x:v>
      </x:c>
      <x:c r="AD45" t="s">
        <x:v>54</x:v>
      </x:c>
      <x:c r="AE45" t="s">
        <x:v>54</x:v>
      </x:c>
      <x:c r="AF45" t="s">
        <x:v>54</x:v>
      </x:c>
      <x:c r="AG45" t="s">
        <x:v>699</x:v>
      </x:c>
      <x:c r="AH45" t="s">
        <x:v>54</x:v>
      </x:c>
      <x:c r="AI45" t="s">
        <x:v>54</x:v>
      </x:c>
      <x:c r="AJ45" t="s">
        <x:v>54</x:v>
      </x:c>
      <x:c r="AK45" t="s">
        <x:v>54</x:v>
      </x:c>
      <x:c r="AL45" t="s">
        <x:v>54</x:v>
      </x:c>
      <x:c r="AM45" t="s">
        <x:v>383</x:v>
      </x:c>
      <x:c r="AN45" t="s">
        <x:v>383</x:v>
      </x:c>
      <x:c r="AO45" t="s">
        <x:v>54</x:v>
      </x:c>
      <x:c r="AP45" t="s">
        <x:v>54</x:v>
      </x:c>
      <x:c r="AQ45" t="b">
        <x:v>0</x:v>
      </x:c>
      <x:c r="AR45" t="s">
        <x:v>314</x:v>
      </x:c>
      <x:c r="AS45" t="s">
        <x:v>54</x:v>
      </x:c>
      <x:c r="AT45" t="s">
        <x:v>73</x:v>
      </x:c>
      <x:c r="AU45" t="s">
        <x:v>700</x:v>
      </x:c>
      <x:c r="AV45" t="s">
        <x:v>75</x:v>
      </x:c>
      <x:c r="AW45" t="s">
        <x:v>76</x:v>
      </x:c>
      <x:c r="AX45" t="s">
        <x:v>694</x:v>
      </x:c>
      <x:c r="AY45" t="str">
        <x:f>IF(AND(ISNUMBER(SEARCH("Donovan",AC45)),OR(AT45=TRUE,AT45="TRUE"),OR(AQ45=FALSE,AQ45="FALSE")),"YES","NO")</x:f>
        <x:v>YES</x:v>
      </x:c>
      <x:c r="AZ45" t="str">
        <x:f>IF(AND(AY45="YES",LEFT(I45,2)="FF"),"YES","NO")</x:f>
        <x:v>YES</x:v>
      </x:c>
      <x:c r="BA45" t="str">
        <x:f>IF(AZ45&lt;&gt;"YES","Not FF focus",IF(N45&lt;=2,"0-2 Remote Window",IF(N45&lt;=5,"3-5 Client Follow-up",IF(N45=6,"Day 6 Escalate","7+ Overdue"))))</x:f>
        <x:v>7+ Overdue</x:v>
      </x:c>
      <x:c r="BB45" t="str">
        <x:f>IF(AZ45&lt;&gt;"YES","Excluded",IF(N45&lt;=2,"On Track",IF(N45&lt;=5,"Warning",IF(N45=6,"Escalate Today","Overdue"))))</x:f>
        <x:v>Overdue</x:v>
      </x:c>
      <x:c r="BC45" t="str">
        <x:f>IF(AY45&lt;&gt;"YES","",IF(ISNUMBER(SEARCH("Quote Sent",P45)),"Follow up quote approval weekly + add JC comment",IF(ISNUMBER(SEARCH("Awaiting install",P45)),"Confirm install date/ETA + update JC",IF(ISNUMBER(SEARCH("Schedule",P45)),"Schedule/confirm tech action",IF(AZ45="YES",IF(N45&lt;=2,"Troubleshoot remotely + comment evidence",IF(N45&lt;=5,"Email/call client + record who/when/outcome","Escalate to Lindy + agree action plan")),"Check current status + add clear JC comment")))))</x:f>
        <x:v>Confirm install date/ETA + update JC</x:v>
      </x:c>
      <x:c r="BD45" t="n">
        <x:f>IF(AZ45="YES",6-N45,"")</x:f>
        <x:v>-31</x:v>
      </x:c>
      <x:c r="BE45" t="str">
        <x:f>IF(AY45="YES","Comment must show: date, contact person, method, outcome, next action","")</x:f>
        <x:v>Comment must show: date, contact person, method, outcome, next action</x:v>
      </x:c>
      <x:c r="BF45" t="str">
        <x:f>IF(AND(AY45="YES",O45&gt;=7),"Stuck in status 7+ days","")</x:f>
        <x:v>Stuck in status 7+ days</x:v>
      </x:c>
    </x:row>
    <x:row r="46">
      <x:c r="A46" t="s">
        <x:v>109</x:v>
      </x:c>
      <x:c r="B46" t="s">
        <x:v>701</x:v>
      </x:c>
      <x:c r="C46" t="s">
        <x:v>702</x:v>
      </x:c>
      <x:c r="D46" t="s">
        <x:v>703</x:v>
      </x:c>
      <x:c r="E46" t="s">
        <x:v>54</x:v>
      </x:c>
      <x:c r="F46" t="s">
        <x:v>704</x:v>
      </x:c>
      <x:c r="G46" t="s">
        <x:v>705</x:v>
      </x:c>
      <x:c r="H46" t="s">
        <x:v>706</x:v>
      </x:c>
      <x:c r="I46" t="s">
        <x:v>57</x:v>
      </x:c>
      <x:c r="J46" t="s">
        <x:v>707</x:v>
      </x:c>
      <x:c r="K46" t="s">
        <x:v>54</x:v>
      </x:c>
      <x:c r="L46" t="s">
        <x:v>708</x:v>
      </x:c>
      <x:c r="M46" t="s">
        <x:v>709</x:v>
      </x:c>
      <x:c r="N46">
        <x:v>37</x:v>
      </x:c>
      <x:c r="O46">
        <x:v>6</x:v>
      </x:c>
      <x:c r="P46" t="s">
        <x:v>710</x:v>
      </x:c>
      <x:c r="Q46" t="s">
        <x:v>711</x:v>
      </x:c>
      <x:c r="R46" t="s">
        <x:v>54</x:v>
      </x:c>
      <x:c r="S46" t="s">
        <x:v>54</x:v>
      </x:c>
      <x:c r="T46" t="s">
        <x:v>54</x:v>
      </x:c>
      <x:c r="U46" t="s">
        <x:v>712</x:v>
      </x:c>
      <x:c r="V46" t="s">
        <x:v>54</x:v>
      </x:c>
      <x:c r="W46" t="s">
        <x:v>54</x:v>
      </x:c>
      <x:c r="X46" t="s">
        <x:v>54</x:v>
      </x:c>
      <x:c r="Y46" t="s">
        <x:v>713</x:v>
      </x:c>
      <x:c r="Z46" t="s">
        <x:v>714</x:v>
      </x:c>
      <x:c r="AA46" t="s">
        <x:v>715</x:v>
      </x:c>
      <x:c r="AB46" t="s">
        <x:v>85</x:v>
      </x:c>
      <x:c r="AC46" t="s">
        <x:v>68</x:v>
      </x:c>
      <x:c r="AD46" t="s">
        <x:v>54</x:v>
      </x:c>
      <x:c r="AE46" t="s">
        <x:v>54</x:v>
      </x:c>
      <x:c r="AF46" t="s">
        <x:v>54</x:v>
      </x:c>
      <x:c r="AG46" t="s">
        <x:v>716</x:v>
      </x:c>
      <x:c r="AH46" t="s">
        <x:v>54</x:v>
      </x:c>
      <x:c r="AI46" t="s">
        <x:v>54</x:v>
      </x:c>
      <x:c r="AJ46" t="s">
        <x:v>54</x:v>
      </x:c>
      <x:c r="AK46" t="s">
        <x:v>54</x:v>
      </x:c>
      <x:c r="AL46" t="s">
        <x:v>54</x:v>
      </x:c>
      <x:c r="AM46" t="s">
        <x:v>717</x:v>
      </x:c>
      <x:c r="AN46" t="s">
        <x:v>718</x:v>
      </x:c>
      <x:c r="AO46" t="s">
        <x:v>54</x:v>
      </x:c>
      <x:c r="AP46" t="s">
        <x:v>54</x:v>
      </x:c>
      <x:c r="AQ46" t="b">
        <x:v>0</x:v>
      </x:c>
      <x:c r="AR46" t="s">
        <x:v>719</x:v>
      </x:c>
      <x:c r="AS46" t="s">
        <x:v>54</x:v>
      </x:c>
      <x:c r="AT46" t="s">
        <x:v>73</x:v>
      </x:c>
      <x:c r="AU46" t="s">
        <x:v>720</x:v>
      </x:c>
      <x:c r="AV46" t="s">
        <x:v>75</x:v>
      </x:c>
      <x:c r="AW46" t="s">
        <x:v>481</x:v>
      </x:c>
      <x:c r="AX46" t="s">
        <x:v>721</x:v>
      </x:c>
      <x:c r="AY46" t="str">
        <x:f>IF(AND(ISNUMBER(SEARCH("Donovan",AC46)),OR(AT46=TRUE,AT46="TRUE"),OR(AQ46=FALSE,AQ46="FALSE")),"YES","NO")</x:f>
        <x:v>YES</x:v>
      </x:c>
      <x:c r="AZ46" t="str">
        <x:f>IF(AND(AY46="YES",LEFT(I46,2)="FF"),"YES","NO")</x:f>
        <x:v>YES</x:v>
      </x:c>
      <x:c r="BA46" t="str">
        <x:f>IF(AZ46&lt;&gt;"YES","Not FF focus",IF(N46&lt;=2,"0-2 Remote Window",IF(N46&lt;=5,"3-5 Client Follow-up",IF(N46=6,"Day 6 Escalate","7+ Overdue"))))</x:f>
        <x:v>7+ Overdue</x:v>
      </x:c>
      <x:c r="BB46" t="str">
        <x:f>IF(AZ46&lt;&gt;"YES","Excluded",IF(N46&lt;=2,"On Track",IF(N46&lt;=5,"Warning",IF(N46=6,"Escalate Today","Overdue"))))</x:f>
        <x:v>Overdue</x:v>
      </x:c>
      <x:c r="BC46" t="str">
        <x:f>IF(AY46&lt;&gt;"YES","",IF(ISNUMBER(SEARCH("Quote Sent",P46)),"Follow up quote approval weekly + add JC comment",IF(ISNUMBER(SEARCH("Awaiting install",P46)),"Confirm install date/ETA + update JC",IF(ISNUMBER(SEARCH("Schedule",P46)),"Schedule/confirm tech action",IF(AZ46="YES",IF(N46&lt;=2,"Troubleshoot remotely + comment evidence",IF(N46&lt;=5,"Email/call client + record who/when/outcome","Escalate to Lindy + agree action plan")),"Check current status + add clear JC comment")))))</x:f>
        <x:v>Schedule/confirm tech action</x:v>
      </x:c>
      <x:c r="BD46" t="n">
        <x:f>IF(AZ46="YES",6-N46,"")</x:f>
        <x:v>-31</x:v>
      </x:c>
      <x:c r="BE46" t="str">
        <x:f>IF(AY46="YES","Comment must show: date, contact person, method, outcome, next action","")</x:f>
        <x:v>Comment must show: date, contact person, method, outcome, next action</x:v>
      </x:c>
      <x:c r="BF46" t="str">
        <x:f>IF(AND(AY46="YES",O46&gt;=7),"Stuck in status 7+ days","")</x:f>
      </x:c>
    </x:row>
    <x:row r="47">
      <x:c r="A47" t="s">
        <x:v>109</x:v>
      </x:c>
      <x:c r="B47" t="s">
        <x:v>722</x:v>
      </x:c>
      <x:c r="C47" t="s">
        <x:v>723</x:v>
      </x:c>
      <x:c r="D47" t="s">
        <x:v>724</x:v>
      </x:c>
      <x:c r="E47" t="s">
        <x:v>54</x:v>
      </x:c>
      <x:c r="F47" t="s">
        <x:v>725</x:v>
      </x:c>
      <x:c r="G47" t="s">
        <x:v>726</x:v>
      </x:c>
      <x:c r="H47" t="s">
        <x:v>54</x:v>
      </x:c>
      <x:c r="I47" t="s">
        <x:v>115</x:v>
      </x:c>
      <x:c r="J47" t="s">
        <x:v>727</x:v>
      </x:c>
      <x:c r="K47" t="s">
        <x:v>54</x:v>
      </x:c>
      <x:c r="L47" t="s">
        <x:v>728</x:v>
      </x:c>
      <x:c r="M47" t="s">
        <x:v>729</x:v>
      </x:c>
      <x:c r="N47">
        <x:v>36</x:v>
      </x:c>
      <x:c r="O47">
        <x:v>21</x:v>
      </x:c>
      <x:c r="P47" t="s">
        <x:v>186</x:v>
      </x:c>
      <x:c r="Q47" t="s">
        <x:v>730</x:v>
      </x:c>
      <x:c r="R47" t="s">
        <x:v>54</x:v>
      </x:c>
      <x:c r="S47" t="s">
        <x:v>54</x:v>
      </x:c>
      <x:c r="T47" t="s">
        <x:v>54</x:v>
      </x:c>
      <x:c r="U47" t="s">
        <x:v>731</x:v>
      </x:c>
      <x:c r="V47" t="s">
        <x:v>54</x:v>
      </x:c>
      <x:c r="W47" t="s">
        <x:v>54</x:v>
      </x:c>
      <x:c r="X47" t="s">
        <x:v>54</x:v>
      </x:c>
      <x:c r="Y47" t="s">
        <x:v>54</x:v>
      </x:c>
      <x:c r="Z47" t="s">
        <x:v>54</x:v>
      </x:c>
      <x:c r="AA47" t="s">
        <x:v>54</x:v>
      </x:c>
      <x:c r="AB47" t="s">
        <x:v>54</x:v>
      </x:c>
      <x:c r="AC47" t="s">
        <x:v>68</x:v>
      </x:c>
      <x:c r="AD47" t="s">
        <x:v>54</x:v>
      </x:c>
      <x:c r="AE47" t="s">
        <x:v>54</x:v>
      </x:c>
      <x:c r="AF47" t="s">
        <x:v>54</x:v>
      </x:c>
      <x:c r="AG47" t="s">
        <x:v>54</x:v>
      </x:c>
      <x:c r="AH47" t="s">
        <x:v>54</x:v>
      </x:c>
      <x:c r="AI47" t="s">
        <x:v>54</x:v>
      </x:c>
      <x:c r="AJ47" t="s">
        <x:v>54</x:v>
      </x:c>
      <x:c r="AK47" t="s">
        <x:v>54</x:v>
      </x:c>
      <x:c r="AL47" t="s">
        <x:v>54</x:v>
      </x:c>
      <x:c r="AM47" t="s">
        <x:v>54</x:v>
      </x:c>
      <x:c r="AN47" t="s">
        <x:v>54</x:v>
      </x:c>
      <x:c r="AO47" t="s">
        <x:v>54</x:v>
      </x:c>
      <x:c r="AP47" t="s">
        <x:v>54</x:v>
      </x:c>
      <x:c r="AQ47" t="b">
        <x:v>0</x:v>
      </x:c>
      <x:c r="AR47" t="s">
        <x:v>732</x:v>
      </x:c>
      <x:c r="AS47" t="s">
        <x:v>54</x:v>
      </x:c>
      <x:c r="AT47" t="s">
        <x:v>73</x:v>
      </x:c>
      <x:c r="AU47" t="s">
        <x:v>733</x:v>
      </x:c>
      <x:c r="AV47" t="s">
        <x:v>734</x:v>
      </x:c>
      <x:c r="AW47" t="s">
        <x:v>155</x:v>
      </x:c>
      <x:c r="AX47" t="s">
        <x:v>735</x:v>
      </x:c>
      <x:c r="AY47" t="str">
        <x:f>IF(AND(ISNUMBER(SEARCH("Donovan",AC47)),OR(AT47=TRUE,AT47="TRUE"),OR(AQ47=FALSE,AQ47="FALSE")),"YES","NO")</x:f>
        <x:v>YES</x:v>
      </x:c>
      <x:c r="AZ47" t="str">
        <x:f>IF(AND(AY47="YES",LEFT(I47,2)="FF"),"YES","NO")</x:f>
        <x:v>NO</x:v>
      </x:c>
      <x:c r="BA47" t="str">
        <x:f>IF(AZ47&lt;&gt;"YES","Not FF focus",IF(N47&lt;=2,"0-2 Remote Window",IF(N47&lt;=5,"3-5 Client Follow-up",IF(N47=6,"Day 6 Escalate","7+ Overdue"))))</x:f>
        <x:v>Not FF focus</x:v>
      </x:c>
      <x:c r="BB47" t="str">
        <x:f>IF(AZ47&lt;&gt;"YES","Excluded",IF(N47&lt;=2,"On Track",IF(N47&lt;=5,"Warning",IF(N47=6,"Escalate Today","Overdue"))))</x:f>
        <x:v>Excluded</x:v>
      </x:c>
      <x:c r="BC47" t="str">
        <x:f>IF(AY47&lt;&gt;"YES","",IF(ISNUMBER(SEARCH("Quote Sent",P47)),"Follow up quote approval weekly + add JC comment",IF(ISNUMBER(SEARCH("Awaiting install",P47)),"Confirm install date/ETA + update JC",IF(ISNUMBER(SEARCH("Schedule",P47)),"Schedule/confirm tech action",IF(AZ47="YES",IF(N47&lt;=2,"Troubleshoot remotely + comment evidence",IF(N47&lt;=5,"Email/call client + record who/when/outcome","Escalate to Lindy + agree action plan")),"Check current status + add clear JC comment")))))</x:f>
        <x:v>Confirm install date/ETA + update JC</x:v>
      </x:c>
      <x:c r="BD47" t="str">
        <x:f>IF(AZ47="YES",6-N47,"")</x:f>
      </x:c>
      <x:c r="BE47" t="str">
        <x:f>IF(AY47="YES","Comment must show: date, contact person, method, outcome, next action","")</x:f>
        <x:v>Comment must show: date, contact person, method, outcome, next action</x:v>
      </x:c>
      <x:c r="BF47" t="str">
        <x:f>IF(AND(AY47="YES",O47&gt;=7),"Stuck in status 7+ days","")</x:f>
        <x:v>Stuck in status 7+ days</x:v>
      </x:c>
    </x:row>
    <x:row r="48">
      <x:c r="A48" t="s">
        <x:v>109</x:v>
      </x:c>
      <x:c r="B48" t="s">
        <x:v>736</x:v>
      </x:c>
      <x:c r="C48" t="s">
        <x:v>737</x:v>
      </x:c>
      <x:c r="D48" t="s">
        <x:v>738</x:v>
      </x:c>
      <x:c r="E48" t="s">
        <x:v>54</x:v>
      </x:c>
      <x:c r="F48" t="s">
        <x:v>739</x:v>
      </x:c>
      <x:c r="G48" t="s">
        <x:v>740</x:v>
      </x:c>
      <x:c r="H48" t="s">
        <x:v>741</x:v>
      </x:c>
      <x:c r="I48" t="s">
        <x:v>142</x:v>
      </x:c>
      <x:c r="J48" t="s">
        <x:v>742</x:v>
      </x:c>
      <x:c r="K48" t="s">
        <x:v>54</x:v>
      </x:c>
      <x:c r="L48" t="s">
        <x:v>743</x:v>
      </x:c>
      <x:c r="M48" t="s">
        <x:v>744</x:v>
      </x:c>
      <x:c r="N48">
        <x:v>36</x:v>
      </x:c>
      <x:c r="O48">
        <x:v>30</x:v>
      </x:c>
      <x:c r="P48" t="s">
        <x:v>146</x:v>
      </x:c>
      <x:c r="Q48" t="s">
        <x:v>745</x:v>
      </x:c>
      <x:c r="R48" t="s">
        <x:v>54</x:v>
      </x:c>
      <x:c r="S48" t="s">
        <x:v>54</x:v>
      </x:c>
      <x:c r="T48" t="s">
        <x:v>54</x:v>
      </x:c>
      <x:c r="U48" t="s">
        <x:v>746</x:v>
      </x:c>
      <x:c r="V48" t="s">
        <x:v>54</x:v>
      </x:c>
      <x:c r="W48" t="s">
        <x:v>54</x:v>
      </x:c>
      <x:c r="X48" t="s">
        <x:v>54</x:v>
      </x:c>
      <x:c r="Y48" t="s">
        <x:v>54</x:v>
      </x:c>
      <x:c r="Z48" t="s">
        <x:v>54</x:v>
      </x:c>
      <x:c r="AA48" t="s">
        <x:v>54</x:v>
      </x:c>
      <x:c r="AB48" t="s">
        <x:v>54</x:v>
      </x:c>
      <x:c r="AC48" t="s">
        <x:v>166</x:v>
      </x:c>
      <x:c r="AD48" t="s">
        <x:v>54</x:v>
      </x:c>
      <x:c r="AE48" t="s">
        <x:v>54</x:v>
      </x:c>
      <x:c r="AF48" t="s">
        <x:v>54</x:v>
      </x:c>
      <x:c r="AG48" t="s">
        <x:v>54</x:v>
      </x:c>
      <x:c r="AH48" t="s">
        <x:v>54</x:v>
      </x:c>
      <x:c r="AI48" t="s">
        <x:v>54</x:v>
      </x:c>
      <x:c r="AJ48" t="s">
        <x:v>54</x:v>
      </x:c>
      <x:c r="AK48" t="s">
        <x:v>54</x:v>
      </x:c>
      <x:c r="AL48" t="s">
        <x:v>54</x:v>
      </x:c>
      <x:c r="AM48" t="s">
        <x:v>54</x:v>
      </x:c>
      <x:c r="AN48" t="s">
        <x:v>54</x:v>
      </x:c>
      <x:c r="AO48" t="s">
        <x:v>54</x:v>
      </x:c>
      <x:c r="AP48" t="s">
        <x:v>54</x:v>
      </x:c>
      <x:c r="AQ48" t="b">
        <x:v>0</x:v>
      </x:c>
      <x:c r="AR48" t="s">
        <x:v>207</x:v>
      </x:c>
      <x:c r="AS48" t="s">
        <x:v>54</x:v>
      </x:c>
      <x:c r="AT48" t="s">
        <x:v>73</x:v>
      </x:c>
      <x:c r="AU48" t="s">
        <x:v>747</x:v>
      </x:c>
      <x:c r="AV48" t="s">
        <x:v>734</x:v>
      </x:c>
      <x:c r="AW48" t="s">
        <x:v>734</x:v>
      </x:c>
      <x:c r="AX48" t="s">
        <x:v>748</x:v>
      </x:c>
      <x:c r="AY48" t="str">
        <x:f>IF(AND(ISNUMBER(SEARCH("Donovan",AC48)),OR(AT48=TRUE,AT48="TRUE"),OR(AQ48=FALSE,AQ48="FALSE")),"YES","NO")</x:f>
        <x:v>YES</x:v>
      </x:c>
      <x:c r="AZ48" t="str">
        <x:f>IF(AND(AY48="YES",LEFT(I48,2)="FF"),"YES","NO")</x:f>
        <x:v>NO</x:v>
      </x:c>
      <x:c r="BA48" t="str">
        <x:f>IF(AZ48&lt;&gt;"YES","Not FF focus",IF(N48&lt;=2,"0-2 Remote Window",IF(N48&lt;=5,"3-5 Client Follow-up",IF(N48=6,"Day 6 Escalate","7+ Overdue"))))</x:f>
        <x:v>Not FF focus</x:v>
      </x:c>
      <x:c r="BB48" t="str">
        <x:f>IF(AZ48&lt;&gt;"YES","Excluded",IF(N48&lt;=2,"On Track",IF(N48&lt;=5,"Warning",IF(N48=6,"Escalate Today","Overdue"))))</x:f>
        <x:v>Excluded</x:v>
      </x:c>
      <x:c r="BC48" t="str">
        <x:f>IF(AY48&lt;&gt;"YES","",IF(ISNUMBER(SEARCH("Quote Sent",P48)),"Follow up quote approval weekly + add JC comment",IF(ISNUMBER(SEARCH("Awaiting install",P48)),"Confirm install date/ETA + update JC",IF(ISNUMBER(SEARCH("Schedule",P48)),"Schedule/confirm tech action",IF(AZ48="YES",IF(N48&lt;=2,"Troubleshoot remotely + comment evidence",IF(N48&lt;=5,"Email/call client + record who/when/outcome","Escalate to Lindy + agree action plan")),"Check current status + add clear JC comment")))))</x:f>
        <x:v>Follow up quote approval weekly + add JC comment</x:v>
      </x:c>
      <x:c r="BD48" t="str">
        <x:f>IF(AZ48="YES",6-N48,"")</x:f>
      </x:c>
      <x:c r="BE48" t="str">
        <x:f>IF(AY48="YES","Comment must show: date, contact person, method, outcome, next action","")</x:f>
        <x:v>Comment must show: date, contact person, method, outcome, next action</x:v>
      </x:c>
      <x:c r="BF48" t="str">
        <x:f>IF(AND(AY48="YES",O48&gt;=7),"Stuck in status 7+ days","")</x:f>
        <x:v>Stuck in status 7+ days</x:v>
      </x:c>
    </x:row>
    <x:row r="49">
      <x:c r="A49" t="s">
        <x:v>109</x:v>
      </x:c>
      <x:c r="B49" t="s">
        <x:v>749</x:v>
      </x:c>
      <x:c r="C49" t="s">
        <x:v>222</x:v>
      </x:c>
      <x:c r="D49" t="s">
        <x:v>223</x:v>
      </x:c>
      <x:c r="E49" t="s">
        <x:v>54</x:v>
      </x:c>
      <x:c r="F49" t="s">
        <x:v>300</x:v>
      </x:c>
      <x:c r="G49" t="s">
        <x:v>301</x:v>
      </x:c>
      <x:c r="H49" t="s">
        <x:v>302</x:v>
      </x:c>
      <x:c r="I49" t="s">
        <x:v>57</x:v>
      </x:c>
      <x:c r="J49" t="s">
        <x:v>750</x:v>
      </x:c>
      <x:c r="K49" t="s">
        <x:v>54</x:v>
      </x:c>
      <x:c r="L49" t="s">
        <x:v>228</x:v>
      </x:c>
      <x:c r="M49" t="s">
        <x:v>751</x:v>
      </x:c>
      <x:c r="N49">
        <x:v>36</x:v>
      </x:c>
      <x:c r="O49">
        <x:v>29</x:v>
      </x:c>
      <x:c r="P49" t="s">
        <x:v>61</x:v>
      </x:c>
      <x:c r="Q49" t="s">
        <x:v>752</x:v>
      </x:c>
      <x:c r="R49" t="s">
        <x:v>54</x:v>
      </x:c>
      <x:c r="S49" t="s">
        <x:v>54</x:v>
      </x:c>
      <x:c r="T49" t="s">
        <x:v>54</x:v>
      </x:c>
      <x:c r="U49" t="s">
        <x:v>753</x:v>
      </x:c>
      <x:c r="V49" t="s">
        <x:v>54</x:v>
      </x:c>
      <x:c r="W49" t="s">
        <x:v>54</x:v>
      </x:c>
      <x:c r="X49" t="s">
        <x:v>54</x:v>
      </x:c>
      <x:c r="Y49" t="s">
        <x:v>754</x:v>
      </x:c>
      <x:c r="Z49" t="s">
        <x:v>755</x:v>
      </x:c>
      <x:c r="AA49" t="s">
        <x:v>756</x:v>
      </x:c>
      <x:c r="AB49" t="s">
        <x:v>85</x:v>
      </x:c>
      <x:c r="AC49" t="s">
        <x:v>166</x:v>
      </x:c>
      <x:c r="AD49" t="s">
        <x:v>54</x:v>
      </x:c>
      <x:c r="AE49" t="s">
        <x:v>54</x:v>
      </x:c>
      <x:c r="AF49" t="s">
        <x:v>54</x:v>
      </x:c>
      <x:c r="AG49" t="s">
        <x:v>757</x:v>
      </x:c>
      <x:c r="AH49" t="s">
        <x:v>54</x:v>
      </x:c>
      <x:c r="AI49" t="s">
        <x:v>54</x:v>
      </x:c>
      <x:c r="AJ49" t="s">
        <x:v>54</x:v>
      </x:c>
      <x:c r="AK49" t="s">
        <x:v>54</x:v>
      </x:c>
      <x:c r="AL49" t="s">
        <x:v>54</x:v>
      </x:c>
      <x:c r="AM49" t="s">
        <x:v>532</x:v>
      </x:c>
      <x:c r="AN49" t="s">
        <x:v>532</x:v>
      </x:c>
      <x:c r="AO49" t="s">
        <x:v>54</x:v>
      </x:c>
      <x:c r="AP49" t="s">
        <x:v>54</x:v>
      </x:c>
      <x:c r="AQ49" t="b">
        <x:v>0</x:v>
      </x:c>
      <x:c r="AR49" t="s">
        <x:v>758</x:v>
      </x:c>
      <x:c r="AS49" t="s">
        <x:v>54</x:v>
      </x:c>
      <x:c r="AT49" t="s">
        <x:v>73</x:v>
      </x:c>
      <x:c r="AU49" t="s">
        <x:v>759</x:v>
      </x:c>
      <x:c r="AV49" t="s">
        <x:v>422</x:v>
      </x:c>
      <x:c r="AW49" t="s">
        <x:v>76</x:v>
      </x:c>
      <x:c r="AX49" t="s">
        <x:v>752</x:v>
      </x:c>
      <x:c r="AY49" t="str">
        <x:f>IF(AND(ISNUMBER(SEARCH("Donovan",AC49)),OR(AT49=TRUE,AT49="TRUE"),OR(AQ49=FALSE,AQ49="FALSE")),"YES","NO")</x:f>
        <x:v>YES</x:v>
      </x:c>
      <x:c r="AZ49" t="str">
        <x:f>IF(AND(AY49="YES",LEFT(I49,2)="FF"),"YES","NO")</x:f>
        <x:v>YES</x:v>
      </x:c>
      <x:c r="BA49" t="str">
        <x:f>IF(AZ49&lt;&gt;"YES","Not FF focus",IF(N49&lt;=2,"0-2 Remote Window",IF(N49&lt;=5,"3-5 Client Follow-up",IF(N49=6,"Day 6 Escalate","7+ Overdue"))))</x:f>
        <x:v>7+ Overdue</x:v>
      </x:c>
      <x:c r="BB49" t="str">
        <x:f>IF(AZ49&lt;&gt;"YES","Excluded",IF(N49&lt;=2,"On Track",IF(N49&lt;=5,"Warning",IF(N49=6,"Escalate Today","Overdue"))))</x:f>
        <x:v>Overdue</x:v>
      </x:c>
      <x:c r="BC49" t="str">
        <x:f>IF(AY49&lt;&gt;"YES","",IF(ISNUMBER(SEARCH("Quote Sent",P49)),"Follow up quote approval weekly + add JC comment",IF(ISNUMBER(SEARCH("Awaiting install",P49)),"Confirm install date/ETA + update JC",IF(ISNUMBER(SEARCH("Schedule",P49)),"Schedule/confirm tech action",IF(AZ49="YES",IF(N49&lt;=2,"Troubleshoot remotely + comment evidence",IF(N49&lt;=5,"Email/call client + record who/when/outcome","Escalate to Lindy + agree action plan")),"Check current status + add clear JC comment")))))</x:f>
        <x:v>Confirm install date/ETA + update JC</x:v>
      </x:c>
      <x:c r="BD49" t="n">
        <x:f>IF(AZ49="YES",6-N49,"")</x:f>
        <x:v>-30</x:v>
      </x:c>
      <x:c r="BE49" t="str">
        <x:f>IF(AY49="YES","Comment must show: date, contact person, method, outcome, next action","")</x:f>
        <x:v>Comment must show: date, contact person, method, outcome, next action</x:v>
      </x:c>
      <x:c r="BF49" t="str">
        <x:f>IF(AND(AY49="YES",O49&gt;=7),"Stuck in status 7+ days","")</x:f>
        <x:v>Stuck in status 7+ days</x:v>
      </x:c>
    </x:row>
    <x:row r="50">
      <x:c r="A50" t="s">
        <x:v>109</x:v>
      </x:c>
      <x:c r="B50" t="s">
        <x:v>760</x:v>
      </x:c>
      <x:c r="C50" t="s">
        <x:v>761</x:v>
      </x:c>
      <x:c r="D50" t="s">
        <x:v>762</x:v>
      </x:c>
      <x:c r="E50" t="s">
        <x:v>54</x:v>
      </x:c>
      <x:c r="F50" t="s">
        <x:v>763</x:v>
      </x:c>
      <x:c r="G50" t="s">
        <x:v>764</x:v>
      </x:c>
      <x:c r="H50" t="s">
        <x:v>765</x:v>
      </x:c>
      <x:c r="I50" t="s">
        <x:v>57</x:v>
      </x:c>
      <x:c r="J50" t="s">
        <x:v>766</x:v>
      </x:c>
      <x:c r="K50" t="s">
        <x:v>54</x:v>
      </x:c>
      <x:c r="L50" t="s">
        <x:v>767</x:v>
      </x:c>
      <x:c r="M50" t="s">
        <x:v>768</x:v>
      </x:c>
      <x:c r="N50">
        <x:v>36</x:v>
      </x:c>
      <x:c r="O50">
        <x:v>16</x:v>
      </x:c>
      <x:c r="P50" t="s">
        <x:v>230</x:v>
      </x:c>
      <x:c r="Q50" t="s">
        <x:v>769</x:v>
      </x:c>
      <x:c r="R50" t="s">
        <x:v>54</x:v>
      </x:c>
      <x:c r="S50" t="s">
        <x:v>54</x:v>
      </x:c>
      <x:c r="T50" t="s">
        <x:v>54</x:v>
      </x:c>
      <x:c r="U50" t="s">
        <x:v>770</x:v>
      </x:c>
      <x:c r="V50" t="s">
        <x:v>54</x:v>
      </x:c>
      <x:c r="W50" t="s">
        <x:v>54</x:v>
      </x:c>
      <x:c r="X50" t="s">
        <x:v>54</x:v>
      </x:c>
      <x:c r="Y50" t="s">
        <x:v>771</x:v>
      </x:c>
      <x:c r="Z50" t="s">
        <x:v>772</x:v>
      </x:c>
      <x:c r="AA50" t="s">
        <x:v>773</x:v>
      </x:c>
      <x:c r="AB50" t="s">
        <x:v>54</x:v>
      </x:c>
      <x:c r="AC50" t="s">
        <x:v>774</x:v>
      </x:c>
      <x:c r="AD50" t="s">
        <x:v>54</x:v>
      </x:c>
      <x:c r="AE50" t="s">
        <x:v>54</x:v>
      </x:c>
      <x:c r="AF50" t="s">
        <x:v>54</x:v>
      </x:c>
      <x:c r="AG50" t="s">
        <x:v>775</x:v>
      </x:c>
      <x:c r="AH50" t="s">
        <x:v>54</x:v>
      </x:c>
      <x:c r="AI50" t="s">
        <x:v>54</x:v>
      </x:c>
      <x:c r="AJ50" t="s">
        <x:v>54</x:v>
      </x:c>
      <x:c r="AK50" t="s">
        <x:v>54</x:v>
      </x:c>
      <x:c r="AL50" t="s">
        <x:v>54</x:v>
      </x:c>
      <x:c r="AM50" t="s">
        <x:v>776</x:v>
      </x:c>
      <x:c r="AN50" t="s">
        <x:v>777</x:v>
      </x:c>
      <x:c r="AO50" t="s">
        <x:v>54</x:v>
      </x:c>
      <x:c r="AP50" t="s">
        <x:v>54</x:v>
      </x:c>
      <x:c r="AQ50" t="b">
        <x:v>0</x:v>
      </x:c>
      <x:c r="AR50" t="s">
        <x:v>239</x:v>
      </x:c>
      <x:c r="AS50" t="s">
        <x:v>54</x:v>
      </x:c>
      <x:c r="AT50" t="s">
        <x:v>73</x:v>
      </x:c>
      <x:c r="AU50" t="s">
        <x:v>778</x:v>
      </x:c>
      <x:c r="AV50" t="s">
        <x:v>75</x:v>
      </x:c>
      <x:c r="AW50" t="s">
        <x:v>155</x:v>
      </x:c>
      <x:c r="AX50" t="s">
        <x:v>769</x:v>
      </x:c>
      <x:c r="AY50" t="str">
        <x:f>IF(AND(ISNUMBER(SEARCH("Donovan",AC50)),OR(AT50=TRUE,AT50="TRUE"),OR(AQ50=FALSE,AQ50="FALSE")),"YES","NO")</x:f>
        <x:v>YES</x:v>
      </x:c>
      <x:c r="AZ50" t="str">
        <x:f>IF(AND(AY50="YES",LEFT(I50,2)="FF"),"YES","NO")</x:f>
        <x:v>YES</x:v>
      </x:c>
      <x:c r="BA50" t="str">
        <x:f>IF(AZ50&lt;&gt;"YES","Not FF focus",IF(N50&lt;=2,"0-2 Remote Window",IF(N50&lt;=5,"3-5 Client Follow-up",IF(N50=6,"Day 6 Escalate","7+ Overdue"))))</x:f>
        <x:v>7+ Overdue</x:v>
      </x:c>
      <x:c r="BB50" t="str">
        <x:f>IF(AZ50&lt;&gt;"YES","Excluded",IF(N50&lt;=2,"On Track",IF(N50&lt;=5,"Warning",IF(N50=6,"Escalate Today","Overdue"))))</x:f>
        <x:v>Overdue</x:v>
      </x:c>
      <x:c r="BC50" t="str">
        <x:f>IF(AY50&lt;&gt;"YES","",IF(ISNUMBER(SEARCH("Quote Sent",P50)),"Follow up quote approval weekly + add JC comment",IF(ISNUMBER(SEARCH("Awaiting install",P50)),"Confirm install date/ETA + update JC",IF(ISNUMBER(SEARCH("Schedule",P50)),"Schedule/confirm tech action",IF(AZ50="YES",IF(N50&lt;=2,"Troubleshoot remotely + comment evidence",IF(N50&lt;=5,"Email/call client + record who/when/outcome","Escalate to Lindy + agree action plan")),"Check current status + add clear JC comment")))))</x:f>
        <x:v>Follow up quote approval weekly + add JC comment</x:v>
      </x:c>
      <x:c r="BD50" t="n">
        <x:f>IF(AZ50="YES",6-N50,"")</x:f>
        <x:v>-30</x:v>
      </x:c>
      <x:c r="BE50" t="str">
        <x:f>IF(AY50="YES","Comment must show: date, contact person, method, outcome, next action","")</x:f>
        <x:v>Comment must show: date, contact person, method, outcome, next action</x:v>
      </x:c>
      <x:c r="BF50" t="str">
        <x:f>IF(AND(AY50="YES",O50&gt;=7),"Stuck in status 7+ days","")</x:f>
        <x:v>Stuck in status 7+ days</x:v>
      </x:c>
    </x:row>
    <x:row r="51">
      <x:c r="A51" t="s">
        <x:v>109</x:v>
      </x:c>
      <x:c r="B51" t="s">
        <x:v>779</x:v>
      </x:c>
      <x:c r="C51" t="s">
        <x:v>780</x:v>
      </x:c>
      <x:c r="D51" t="s">
        <x:v>781</x:v>
      </x:c>
      <x:c r="E51" t="s">
        <x:v>54</x:v>
      </x:c>
      <x:c r="F51" t="s">
        <x:v>763</x:v>
      </x:c>
      <x:c r="G51" t="s">
        <x:v>764</x:v>
      </x:c>
      <x:c r="H51" t="s">
        <x:v>765</x:v>
      </x:c>
      <x:c r="I51" t="s">
        <x:v>95</x:v>
      </x:c>
      <x:c r="J51" t="s">
        <x:v>782</x:v>
      </x:c>
      <x:c r="K51" t="s">
        <x:v>54</x:v>
      </x:c>
      <x:c r="L51" t="s">
        <x:v>783</x:v>
      </x:c>
      <x:c r="M51" t="s">
        <x:v>784</x:v>
      </x:c>
      <x:c r="N51">
        <x:v>31</x:v>
      </x:c>
      <x:c r="O51">
        <x:v>14</x:v>
      </x:c>
      <x:c r="P51" t="s">
        <x:v>99</x:v>
      </x:c>
      <x:c r="Q51" t="s">
        <x:v>785</x:v>
      </x:c>
      <x:c r="R51" t="s">
        <x:v>54</x:v>
      </x:c>
      <x:c r="S51" t="s">
        <x:v>54</x:v>
      </x:c>
      <x:c r="T51" t="s">
        <x:v>54</x:v>
      </x:c>
      <x:c r="U51" t="s">
        <x:v>54</x:v>
      </x:c>
      <x:c r="V51" t="s">
        <x:v>54</x:v>
      </x:c>
      <x:c r="W51" t="s">
        <x:v>54</x:v>
      </x:c>
      <x:c r="X51" t="s">
        <x:v>54</x:v>
      </x:c>
      <x:c r="Y51" t="s">
        <x:v>786</x:v>
      </x:c>
      <x:c r="Z51" t="s">
        <x:v>379</x:v>
      </x:c>
      <x:c r="AA51" t="s">
        <x:v>787</x:v>
      </x:c>
      <x:c r="AB51" t="s">
        <x:v>54</x:v>
      </x:c>
      <x:c r="AC51" t="s">
        <x:v>788</x:v>
      </x:c>
      <x:c r="AD51" t="s">
        <x:v>54</x:v>
      </x:c>
      <x:c r="AE51" t="s">
        <x:v>54</x:v>
      </x:c>
      <x:c r="AF51" t="s">
        <x:v>54</x:v>
      </x:c>
      <x:c r="AG51" t="s">
        <x:v>789</x:v>
      </x:c>
      <x:c r="AH51" t="s">
        <x:v>54</x:v>
      </x:c>
      <x:c r="AI51" t="s">
        <x:v>54</x:v>
      </x:c>
      <x:c r="AJ51" t="s">
        <x:v>54</x:v>
      </x:c>
      <x:c r="AK51" t="s">
        <x:v>54</x:v>
      </x:c>
      <x:c r="AL51" t="s">
        <x:v>54</x:v>
      </x:c>
      <x:c r="AM51" t="s">
        <x:v>790</x:v>
      </x:c>
      <x:c r="AN51" t="s">
        <x:v>791</x:v>
      </x:c>
      <x:c r="AO51" t="s">
        <x:v>54</x:v>
      </x:c>
      <x:c r="AP51" t="s">
        <x:v>54</x:v>
      </x:c>
      <x:c r="AQ51" t="b">
        <x:v>0</x:v>
      </x:c>
      <x:c r="AR51" t="s">
        <x:v>792</x:v>
      </x:c>
      <x:c r="AS51" t="s">
        <x:v>54</x:v>
      </x:c>
      <x:c r="AT51" t="s">
        <x:v>73</x:v>
      </x:c>
      <x:c r="AU51" t="s">
        <x:v>784</x:v>
      </x:c>
      <x:c r="AV51" t="s">
        <x:v>481</x:v>
      </x:c>
      <x:c r="AW51" t="s">
        <x:v>481</x:v>
      </x:c>
      <x:c r="AX51" t="s">
        <x:v>793</x:v>
      </x:c>
      <x:c r="AY51" t="str">
        <x:f>IF(AND(ISNUMBER(SEARCH("Donovan",AC51)),OR(AT51=TRUE,AT51="TRUE"),OR(AQ51=FALSE,AQ51="FALSE")),"YES","NO")</x:f>
        <x:v>YES</x:v>
      </x:c>
      <x:c r="AZ51" t="str">
        <x:f>IF(AND(AY51="YES",LEFT(I51,2)="FF"),"YES","NO")</x:f>
        <x:v>YES</x:v>
      </x:c>
      <x:c r="BA51" t="str">
        <x:f>IF(AZ51&lt;&gt;"YES","Not FF focus",IF(N51&lt;=2,"0-2 Remote Window",IF(N51&lt;=5,"3-5 Client Follow-up",IF(N51=6,"Day 6 Escalate","7+ Overdue"))))</x:f>
        <x:v>7+ Overdue</x:v>
      </x:c>
      <x:c r="BB51" t="str">
        <x:f>IF(AZ51&lt;&gt;"YES","Excluded",IF(N51&lt;=2,"On Track",IF(N51&lt;=5,"Warning",IF(N51=6,"Escalate Today","Overdue"))))</x:f>
        <x:v>Overdue</x:v>
      </x:c>
      <x:c r="BC51" t="str">
        <x:f>IF(AY51&lt;&gt;"YES","",IF(ISNUMBER(SEARCH("Quote Sent",P51)),"Follow up quote approval weekly + add JC comment",IF(ISNUMBER(SEARCH("Awaiting install",P51)),"Confirm install date/ETA + update JC",IF(ISNUMBER(SEARCH("Schedule",P51)),"Schedule/confirm tech action",IF(AZ51="YES",IF(N51&lt;=2,"Troubleshoot remotely + comment evidence",IF(N51&lt;=5,"Email/call client + record who/when/outcome","Escalate to Lindy + agree action plan")),"Check current status + add clear JC comment")))))</x:f>
        <x:v>Schedule/confirm tech action</x:v>
      </x:c>
      <x:c r="BD51" t="n">
        <x:f>IF(AZ51="YES",6-N51,"")</x:f>
        <x:v>-25</x:v>
      </x:c>
      <x:c r="BE51" t="str">
        <x:f>IF(AY51="YES","Comment must show: date, contact person, method, outcome, next action","")</x:f>
        <x:v>Comment must show: date, contact person, method, outcome, next action</x:v>
      </x:c>
      <x:c r="BF51" t="str">
        <x:f>IF(AND(AY51="YES",O51&gt;=7),"Stuck in status 7+ days","")</x:f>
        <x:v>Stuck in status 7+ days</x:v>
      </x:c>
    </x:row>
    <x:row r="52">
      <x:c r="A52" t="s">
        <x:v>109</x:v>
      </x:c>
      <x:c r="B52" t="s">
        <x:v>794</x:v>
      </x:c>
      <x:c r="C52" t="s">
        <x:v>795</x:v>
      </x:c>
      <x:c r="D52" t="s">
        <x:v>796</x:v>
      </x:c>
      <x:c r="E52" t="s">
        <x:v>54</x:v>
      </x:c>
      <x:c r="F52" t="s">
        <x:v>266</x:v>
      </x:c>
      <x:c r="G52" t="s">
        <x:v>267</x:v>
      </x:c>
      <x:c r="H52" t="s">
        <x:v>54</x:v>
      </x:c>
      <x:c r="I52" t="s">
        <x:v>57</x:v>
      </x:c>
      <x:c r="J52" t="s">
        <x:v>797</x:v>
      </x:c>
      <x:c r="K52" t="s">
        <x:v>54</x:v>
      </x:c>
      <x:c r="L52" t="s">
        <x:v>798</x:v>
      </x:c>
      <x:c r="M52" t="s">
        <x:v>799</x:v>
      </x:c>
      <x:c r="N52">
        <x:v>31</x:v>
      </x:c>
      <x:c r="O52">
        <x:v>16</x:v>
      </x:c>
      <x:c r="P52" t="s">
        <x:v>230</x:v>
      </x:c>
      <x:c r="Q52" t="s">
        <x:v>800</x:v>
      </x:c>
      <x:c r="R52" t="s">
        <x:v>54</x:v>
      </x:c>
      <x:c r="S52" t="s">
        <x:v>54</x:v>
      </x:c>
      <x:c r="T52" t="s">
        <x:v>54</x:v>
      </x:c>
      <x:c r="U52" t="s">
        <x:v>54</x:v>
      </x:c>
      <x:c r="V52" t="s">
        <x:v>54</x:v>
      </x:c>
      <x:c r="W52" t="s">
        <x:v>54</x:v>
      </x:c>
      <x:c r="X52" t="s">
        <x:v>54</x:v>
      </x:c>
      <x:c r="Y52" t="s">
        <x:v>801</x:v>
      </x:c>
      <x:c r="Z52" t="s">
        <x:v>802</x:v>
      </x:c>
      <x:c r="AA52" t="s">
        <x:v>803</x:v>
      </x:c>
      <x:c r="AB52" t="s">
        <x:v>54</x:v>
      </x:c>
      <x:c r="AC52" t="s">
        <x:v>166</x:v>
      </x:c>
      <x:c r="AD52" t="s">
        <x:v>54</x:v>
      </x:c>
      <x:c r="AE52" t="s">
        <x:v>54</x:v>
      </x:c>
      <x:c r="AF52" t="s">
        <x:v>54</x:v>
      </x:c>
      <x:c r="AG52" t="s">
        <x:v>804</x:v>
      </x:c>
      <x:c r="AH52" t="s">
        <x:v>54</x:v>
      </x:c>
      <x:c r="AI52" t="s">
        <x:v>54</x:v>
      </x:c>
      <x:c r="AJ52" t="s">
        <x:v>54</x:v>
      </x:c>
      <x:c r="AK52" t="s">
        <x:v>54</x:v>
      </x:c>
      <x:c r="AL52" t="s">
        <x:v>54</x:v>
      </x:c>
      <x:c r="AM52" t="s">
        <x:v>616</x:v>
      </x:c>
      <x:c r="AN52" t="s">
        <x:v>805</x:v>
      </x:c>
      <x:c r="AO52" t="s">
        <x:v>54</x:v>
      </x:c>
      <x:c r="AP52" t="s">
        <x:v>54</x:v>
      </x:c>
      <x:c r="AQ52" t="b">
        <x:v>0</x:v>
      </x:c>
      <x:c r="AR52" t="s">
        <x:v>806</x:v>
      </x:c>
      <x:c r="AS52" t="s">
        <x:v>54</x:v>
      </x:c>
      <x:c r="AT52" t="s">
        <x:v>73</x:v>
      </x:c>
      <x:c r="AU52" t="s">
        <x:v>807</x:v>
      </x:c>
      <x:c r="AV52" t="s">
        <x:v>75</x:v>
      </x:c>
      <x:c r="AW52" t="s">
        <x:v>155</x:v>
      </x:c>
      <x:c r="AX52" t="s">
        <x:v>808</x:v>
      </x:c>
      <x:c r="AY52" t="str">
        <x:f>IF(AND(ISNUMBER(SEARCH("Donovan",AC52)),OR(AT52=TRUE,AT52="TRUE"),OR(AQ52=FALSE,AQ52="FALSE")),"YES","NO")</x:f>
        <x:v>YES</x:v>
      </x:c>
      <x:c r="AZ52" t="str">
        <x:f>IF(AND(AY52="YES",LEFT(I52,2)="FF"),"YES","NO")</x:f>
        <x:v>YES</x:v>
      </x:c>
      <x:c r="BA52" t="str">
        <x:f>IF(AZ52&lt;&gt;"YES","Not FF focus",IF(N52&lt;=2,"0-2 Remote Window",IF(N52&lt;=5,"3-5 Client Follow-up",IF(N52=6,"Day 6 Escalate","7+ Overdue"))))</x:f>
        <x:v>7+ Overdue</x:v>
      </x:c>
      <x:c r="BB52" t="str">
        <x:f>IF(AZ52&lt;&gt;"YES","Excluded",IF(N52&lt;=2,"On Track",IF(N52&lt;=5,"Warning",IF(N52=6,"Escalate Today","Overdue"))))</x:f>
        <x:v>Overdue</x:v>
      </x:c>
      <x:c r="BC52" t="str">
        <x:f>IF(AY52&lt;&gt;"YES","",IF(ISNUMBER(SEARCH("Quote Sent",P52)),"Follow up quote approval weekly + add JC comment",IF(ISNUMBER(SEARCH("Awaiting install",P52)),"Confirm install date/ETA + update JC",IF(ISNUMBER(SEARCH("Schedule",P52)),"Schedule/confirm tech action",IF(AZ52="YES",IF(N52&lt;=2,"Troubleshoot remotely + comment evidence",IF(N52&lt;=5,"Email/call client + record who/when/outcome","Escalate to Lindy + agree action plan")),"Check current status + add clear JC comment")))))</x:f>
        <x:v>Follow up quote approval weekly + add JC comment</x:v>
      </x:c>
      <x:c r="BD52" t="n">
        <x:f>IF(AZ52="YES",6-N52,"")</x:f>
        <x:v>-25</x:v>
      </x:c>
      <x:c r="BE52" t="str">
        <x:f>IF(AY52="YES","Comment must show: date, contact person, method, outcome, next action","")</x:f>
        <x:v>Comment must show: date, contact person, method, outcome, next action</x:v>
      </x:c>
      <x:c r="BF52" t="str">
        <x:f>IF(AND(AY52="YES",O52&gt;=7),"Stuck in status 7+ days","")</x:f>
        <x:v>Stuck in status 7+ days</x:v>
      </x:c>
    </x:row>
    <x:row r="53">
      <x:c r="A53" t="s">
        <x:v>109</x:v>
      </x:c>
      <x:c r="B53" t="s">
        <x:v>809</x:v>
      </x:c>
      <x:c r="C53" t="s">
        <x:v>243</x:v>
      </x:c>
      <x:c r="D53" t="s">
        <x:v>244</x:v>
      </x:c>
      <x:c r="E53" t="s">
        <x:v>54</x:v>
      </x:c>
      <x:c r="F53" t="s">
        <x:v>810</x:v>
      </x:c>
      <x:c r="G53" t="s">
        <x:v>811</x:v>
      </x:c>
      <x:c r="H53" t="s">
        <x:v>812</x:v>
      </x:c>
      <x:c r="I53" t="s">
        <x:v>57</x:v>
      </x:c>
      <x:c r="J53" t="s">
        <x:v>813</x:v>
      </x:c>
      <x:c r="K53" t="s">
        <x:v>54</x:v>
      </x:c>
      <x:c r="L53" t="s">
        <x:v>814</x:v>
      </x:c>
      <x:c r="M53" t="s">
        <x:v>815</x:v>
      </x:c>
      <x:c r="N53">
        <x:v>31</x:v>
      </x:c>
      <x:c r="O53">
        <x:v>29</x:v>
      </x:c>
      <x:c r="P53" t="s">
        <x:v>230</x:v>
      </x:c>
      <x:c r="Q53" t="s">
        <x:v>816</x:v>
      </x:c>
      <x:c r="R53" t="s">
        <x:v>54</x:v>
      </x:c>
      <x:c r="S53" t="s">
        <x:v>54</x:v>
      </x:c>
      <x:c r="T53" t="s">
        <x:v>54</x:v>
      </x:c>
      <x:c r="U53" t="s">
        <x:v>817</x:v>
      </x:c>
      <x:c r="V53" t="s">
        <x:v>54</x:v>
      </x:c>
      <x:c r="W53" t="s">
        <x:v>54</x:v>
      </x:c>
      <x:c r="X53" t="s">
        <x:v>54</x:v>
      </x:c>
      <x:c r="Y53" t="s">
        <x:v>818</x:v>
      </x:c>
      <x:c r="Z53" t="s">
        <x:v>819</x:v>
      </x:c>
      <x:c r="AA53" t="s">
        <x:v>820</x:v>
      </x:c>
      <x:c r="AB53" t="s">
        <x:v>54</x:v>
      </x:c>
      <x:c r="AC53" t="s">
        <x:v>166</x:v>
      </x:c>
      <x:c r="AD53" t="s">
        <x:v>54</x:v>
      </x:c>
      <x:c r="AE53" t="s">
        <x:v>54</x:v>
      </x:c>
      <x:c r="AF53" t="s">
        <x:v>54</x:v>
      </x:c>
      <x:c r="AG53" t="s">
        <x:v>821</x:v>
      </x:c>
      <x:c r="AH53" t="s">
        <x:v>54</x:v>
      </x:c>
      <x:c r="AI53" t="s">
        <x:v>54</x:v>
      </x:c>
      <x:c r="AJ53" t="s">
        <x:v>54</x:v>
      </x:c>
      <x:c r="AK53" t="s">
        <x:v>54</x:v>
      </x:c>
      <x:c r="AL53" t="s">
        <x:v>54</x:v>
      </x:c>
      <x:c r="AM53" t="s">
        <x:v>805</x:v>
      </x:c>
      <x:c r="AN53" t="s">
        <x:v>678</x:v>
      </x:c>
      <x:c r="AO53" t="s">
        <x:v>54</x:v>
      </x:c>
      <x:c r="AP53" t="s">
        <x:v>54</x:v>
      </x:c>
      <x:c r="AQ53" t="b">
        <x:v>0</x:v>
      </x:c>
      <x:c r="AR53" t="s">
        <x:v>239</x:v>
      </x:c>
      <x:c r="AS53" t="s">
        <x:v>54</x:v>
      </x:c>
      <x:c r="AT53" t="s">
        <x:v>73</x:v>
      </x:c>
      <x:c r="AU53" t="s">
        <x:v>815</x:v>
      </x:c>
      <x:c r="AV53" t="s">
        <x:v>75</x:v>
      </x:c>
      <x:c r="AW53" t="s">
        <x:v>155</x:v>
      </x:c>
      <x:c r="AX53" t="s">
        <x:v>816</x:v>
      </x:c>
      <x:c r="AY53" t="str">
        <x:f>IF(AND(ISNUMBER(SEARCH("Donovan",AC53)),OR(AT53=TRUE,AT53="TRUE"),OR(AQ53=FALSE,AQ53="FALSE")),"YES","NO")</x:f>
        <x:v>YES</x:v>
      </x:c>
      <x:c r="AZ53" t="str">
        <x:f>IF(AND(AY53="YES",LEFT(I53,2)="FF"),"YES","NO")</x:f>
        <x:v>YES</x:v>
      </x:c>
      <x:c r="BA53" t="str">
        <x:f>IF(AZ53&lt;&gt;"YES","Not FF focus",IF(N53&lt;=2,"0-2 Remote Window",IF(N53&lt;=5,"3-5 Client Follow-up",IF(N53=6,"Day 6 Escalate","7+ Overdue"))))</x:f>
        <x:v>7+ Overdue</x:v>
      </x:c>
      <x:c r="BB53" t="str">
        <x:f>IF(AZ53&lt;&gt;"YES","Excluded",IF(N53&lt;=2,"On Track",IF(N53&lt;=5,"Warning",IF(N53=6,"Escalate Today","Overdue"))))</x:f>
        <x:v>Overdue</x:v>
      </x:c>
      <x:c r="BC53" t="str">
        <x:f>IF(AY53&lt;&gt;"YES","",IF(ISNUMBER(SEARCH("Quote Sent",P53)),"Follow up quote approval weekly + add JC comment",IF(ISNUMBER(SEARCH("Awaiting install",P53)),"Confirm install date/ETA + update JC",IF(ISNUMBER(SEARCH("Schedule",P53)),"Schedule/confirm tech action",IF(AZ53="YES",IF(N53&lt;=2,"Troubleshoot remotely + comment evidence",IF(N53&lt;=5,"Email/call client + record who/when/outcome","Escalate to Lindy + agree action plan")),"Check current status + add clear JC comment")))))</x:f>
        <x:v>Follow up quote approval weekly + add JC comment</x:v>
      </x:c>
      <x:c r="BD53" t="n">
        <x:f>IF(AZ53="YES",6-N53,"")</x:f>
        <x:v>-25</x:v>
      </x:c>
      <x:c r="BE53" t="str">
        <x:f>IF(AY53="YES","Comment must show: date, contact person, method, outcome, next action","")</x:f>
        <x:v>Comment must show: date, contact person, method, outcome, next action</x:v>
      </x:c>
      <x:c r="BF53" t="str">
        <x:f>IF(AND(AY53="YES",O53&gt;=7),"Stuck in status 7+ days","")</x:f>
        <x:v>Stuck in status 7+ days</x:v>
      </x:c>
    </x:row>
    <x:row r="54">
      <x:c r="A54" t="s">
        <x:v>109</x:v>
      </x:c>
      <x:c r="B54" t="s">
        <x:v>822</x:v>
      </x:c>
      <x:c r="C54" t="s">
        <x:v>823</x:v>
      </x:c>
      <x:c r="D54" t="s">
        <x:v>824</x:v>
      </x:c>
      <x:c r="E54" t="s">
        <x:v>54</x:v>
      </x:c>
      <x:c r="F54" t="s">
        <x:v>338</x:v>
      </x:c>
      <x:c r="G54" t="s">
        <x:v>339</x:v>
      </x:c>
      <x:c r="H54" t="s">
        <x:v>825</x:v>
      </x:c>
      <x:c r="I54" t="s">
        <x:v>57</x:v>
      </x:c>
      <x:c r="J54" t="s">
        <x:v>826</x:v>
      </x:c>
      <x:c r="K54" t="s">
        <x:v>54</x:v>
      </x:c>
      <x:c r="L54" t="s">
        <x:v>827</x:v>
      </x:c>
      <x:c r="M54" t="s">
        <x:v>828</x:v>
      </x:c>
      <x:c r="N54">
        <x:v>31</x:v>
      </x:c>
      <x:c r="O54">
        <x:v>29</x:v>
      </x:c>
      <x:c r="P54" t="s">
        <x:v>230</x:v>
      </x:c>
      <x:c r="Q54" t="s">
        <x:v>829</x:v>
      </x:c>
      <x:c r="R54" t="s">
        <x:v>54</x:v>
      </x:c>
      <x:c r="S54" t="s">
        <x:v>54</x:v>
      </x:c>
      <x:c r="T54" t="s">
        <x:v>54</x:v>
      </x:c>
      <x:c r="U54" t="s">
        <x:v>830</x:v>
      </x:c>
      <x:c r="V54" t="s">
        <x:v>54</x:v>
      </x:c>
      <x:c r="W54" t="s">
        <x:v>54</x:v>
      </x:c>
      <x:c r="X54" t="s">
        <x:v>54</x:v>
      </x:c>
      <x:c r="Y54" t="s">
        <x:v>831</x:v>
      </x:c>
      <x:c r="Z54" t="s">
        <x:v>697</x:v>
      </x:c>
      <x:c r="AA54" t="s">
        <x:v>832</x:v>
      </x:c>
      <x:c r="AB54" t="s">
        <x:v>54</x:v>
      </x:c>
      <x:c r="AC54" t="s">
        <x:v>166</x:v>
      </x:c>
      <x:c r="AD54" t="s">
        <x:v>54</x:v>
      </x:c>
      <x:c r="AE54" t="s">
        <x:v>54</x:v>
      </x:c>
      <x:c r="AF54" t="s">
        <x:v>54</x:v>
      </x:c>
      <x:c r="AG54" t="s">
        <x:v>833</x:v>
      </x:c>
      <x:c r="AH54" t="s">
        <x:v>54</x:v>
      </x:c>
      <x:c r="AI54" t="s">
        <x:v>54</x:v>
      </x:c>
      <x:c r="AJ54" t="s">
        <x:v>54</x:v>
      </x:c>
      <x:c r="AK54" t="s">
        <x:v>54</x:v>
      </x:c>
      <x:c r="AL54" t="s">
        <x:v>54</x:v>
      </x:c>
      <x:c r="AM54" t="s">
        <x:v>834</x:v>
      </x:c>
      <x:c r="AN54" t="s">
        <x:v>835</x:v>
      </x:c>
      <x:c r="AO54" t="s">
        <x:v>54</x:v>
      </x:c>
      <x:c r="AP54" t="s">
        <x:v>54</x:v>
      </x:c>
      <x:c r="AQ54" t="b">
        <x:v>0</x:v>
      </x:c>
      <x:c r="AR54" t="s">
        <x:v>239</x:v>
      </x:c>
      <x:c r="AS54" t="s">
        <x:v>54</x:v>
      </x:c>
      <x:c r="AT54" t="s">
        <x:v>73</x:v>
      </x:c>
      <x:c r="AU54" t="s">
        <x:v>836</x:v>
      </x:c>
      <x:c r="AV54" t="s">
        <x:v>75</x:v>
      </x:c>
      <x:c r="AW54" t="s">
        <x:v>155</x:v>
      </x:c>
      <x:c r="AX54" t="s">
        <x:v>829</x:v>
      </x:c>
      <x:c r="AY54" t="str">
        <x:f>IF(AND(ISNUMBER(SEARCH("Donovan",AC54)),OR(AT54=TRUE,AT54="TRUE"),OR(AQ54=FALSE,AQ54="FALSE")),"YES","NO")</x:f>
        <x:v>YES</x:v>
      </x:c>
      <x:c r="AZ54" t="str">
        <x:f>IF(AND(AY54="YES",LEFT(I54,2)="FF"),"YES","NO")</x:f>
        <x:v>YES</x:v>
      </x:c>
      <x:c r="BA54" t="str">
        <x:f>IF(AZ54&lt;&gt;"YES","Not FF focus",IF(N54&lt;=2,"0-2 Remote Window",IF(N54&lt;=5,"3-5 Client Follow-up",IF(N54=6,"Day 6 Escalate","7+ Overdue"))))</x:f>
        <x:v>7+ Overdue</x:v>
      </x:c>
      <x:c r="BB54" t="str">
        <x:f>IF(AZ54&lt;&gt;"YES","Excluded",IF(N54&lt;=2,"On Track",IF(N54&lt;=5,"Warning",IF(N54=6,"Escalate Today","Overdue"))))</x:f>
        <x:v>Overdue</x:v>
      </x:c>
      <x:c r="BC54" t="str">
        <x:f>IF(AY54&lt;&gt;"YES","",IF(ISNUMBER(SEARCH("Quote Sent",P54)),"Follow up quote approval weekly + add JC comment",IF(ISNUMBER(SEARCH("Awaiting install",P54)),"Confirm install date/ETA + update JC",IF(ISNUMBER(SEARCH("Schedule",P54)),"Schedule/confirm tech action",IF(AZ54="YES",IF(N54&lt;=2,"Troubleshoot remotely + comment evidence",IF(N54&lt;=5,"Email/call client + record who/when/outcome","Escalate to Lindy + agree action plan")),"Check current status + add clear JC comment")))))</x:f>
        <x:v>Follow up quote approval weekly + add JC comment</x:v>
      </x:c>
      <x:c r="BD54" t="n">
        <x:f>IF(AZ54="YES",6-N54,"")</x:f>
        <x:v>-25</x:v>
      </x:c>
      <x:c r="BE54" t="str">
        <x:f>IF(AY54="YES","Comment must show: date, contact person, method, outcome, next action","")</x:f>
        <x:v>Comment must show: date, contact person, method, outcome, next action</x:v>
      </x:c>
      <x:c r="BF54" t="str">
        <x:f>IF(AND(AY54="YES",O54&gt;=7),"Stuck in status 7+ days","")</x:f>
        <x:v>Stuck in status 7+ days</x:v>
      </x:c>
    </x:row>
    <x:row r="55">
      <x:c r="A55" t="s">
        <x:v>109</x:v>
      </x:c>
      <x:c r="B55" t="s">
        <x:v>837</x:v>
      </x:c>
      <x:c r="C55" t="s">
        <x:v>838</x:v>
      </x:c>
      <x:c r="D55" t="s">
        <x:v>839</x:v>
      </x:c>
      <x:c r="E55" t="s">
        <x:v>54</x:v>
      </x:c>
      <x:c r="F55" t="s">
        <x:v>840</x:v>
      </x:c>
      <x:c r="G55" t="s">
        <x:v>841</x:v>
      </x:c>
      <x:c r="H55" t="s">
        <x:v>842</x:v>
      </x:c>
      <x:c r="I55" t="s">
        <x:v>522</x:v>
      </x:c>
      <x:c r="J55" t="s">
        <x:v>843</x:v>
      </x:c>
      <x:c r="K55" t="s">
        <x:v>54</x:v>
      </x:c>
      <x:c r="L55" t="s">
        <x:v>844</x:v>
      </x:c>
      <x:c r="M55" t="s">
        <x:v>845</x:v>
      </x:c>
      <x:c r="N55">
        <x:v>30</x:v>
      </x:c>
      <x:c r="O55">
        <x:v>9</x:v>
      </x:c>
      <x:c r="P55" t="s">
        <x:v>846</x:v>
      </x:c>
      <x:c r="Q55" t="s">
        <x:v>847</x:v>
      </x:c>
      <x:c r="R55" t="s">
        <x:v>54</x:v>
      </x:c>
      <x:c r="S55" t="s">
        <x:v>54</x:v>
      </x:c>
      <x:c r="T55" t="s">
        <x:v>54</x:v>
      </x:c>
      <x:c r="U55" t="s">
        <x:v>54</x:v>
      </x:c>
      <x:c r="V55" t="s">
        <x:v>54</x:v>
      </x:c>
      <x:c r="W55" t="s">
        <x:v>54</x:v>
      </x:c>
      <x:c r="X55" t="s">
        <x:v>54</x:v>
      </x:c>
      <x:c r="Y55" t="s">
        <x:v>848</x:v>
      </x:c>
      <x:c r="Z55" t="s">
        <x:v>849</x:v>
      </x:c>
      <x:c r="AA55" t="s">
        <x:v>850</x:v>
      </x:c>
      <x:c r="AB55" t="s">
        <x:v>54</x:v>
      </x:c>
      <x:c r="AC55" t="s">
        <x:v>122</x:v>
      </x:c>
      <x:c r="AD55" t="s">
        <x:v>54</x:v>
      </x:c>
      <x:c r="AE55" t="s">
        <x:v>54</x:v>
      </x:c>
      <x:c r="AF55" t="s">
        <x:v>54</x:v>
      </x:c>
      <x:c r="AG55" t="s">
        <x:v>851</x:v>
      </x:c>
      <x:c r="AH55" t="s">
        <x:v>54</x:v>
      </x:c>
      <x:c r="AI55" t="s">
        <x:v>54</x:v>
      </x:c>
      <x:c r="AJ55" t="s">
        <x:v>54</x:v>
      </x:c>
      <x:c r="AK55" t="s">
        <x:v>54</x:v>
      </x:c>
      <x:c r="AL55" t="s">
        <x:v>54</x:v>
      </x:c>
      <x:c r="AM55" t="s">
        <x:v>616</x:v>
      </x:c>
      <x:c r="AN55" t="s">
        <x:v>852</x:v>
      </x:c>
      <x:c r="AO55" t="s">
        <x:v>54</x:v>
      </x:c>
      <x:c r="AP55" t="s">
        <x:v>54</x:v>
      </x:c>
      <x:c r="AQ55" t="b">
        <x:v>0</x:v>
      </x:c>
      <x:c r="AR55" t="s">
        <x:v>853</x:v>
      </x:c>
      <x:c r="AS55" t="s">
        <x:v>54</x:v>
      </x:c>
      <x:c r="AT55" t="s">
        <x:v>73</x:v>
      </x:c>
      <x:c r="AU55" t="s">
        <x:v>845</x:v>
      </x:c>
      <x:c r="AV55" t="s">
        <x:v>75</x:v>
      </x:c>
      <x:c r="AW55" t="s">
        <x:v>734</x:v>
      </x:c>
      <x:c r="AX55" t="s">
        <x:v>847</x:v>
      </x:c>
      <x:c r="AY55" t="str">
        <x:f>IF(AND(ISNUMBER(SEARCH("Donovan",AC55)),OR(AT55=TRUE,AT55="TRUE"),OR(AQ55=FALSE,AQ55="FALSE")),"YES","NO")</x:f>
        <x:v>YES</x:v>
      </x:c>
      <x:c r="AZ55" t="str">
        <x:f>IF(AND(AY55="YES",LEFT(I55,2)="FF"),"YES","NO")</x:f>
        <x:v>YES</x:v>
      </x:c>
      <x:c r="BA55" t="str">
        <x:f>IF(AZ55&lt;&gt;"YES","Not FF focus",IF(N55&lt;=2,"0-2 Remote Window",IF(N55&lt;=5,"3-5 Client Follow-up",IF(N55=6,"Day 6 Escalate","7+ Overdue"))))</x:f>
        <x:v>7+ Overdue</x:v>
      </x:c>
      <x:c r="BB55" t="str">
        <x:f>IF(AZ55&lt;&gt;"YES","Excluded",IF(N55&lt;=2,"On Track",IF(N55&lt;=5,"Warning",IF(N55=6,"Escalate Today","Overdue"))))</x:f>
        <x:v>Overdue</x:v>
      </x:c>
      <x:c r="BC55" t="str">
        <x:f>IF(AY55&lt;&gt;"YES","",IF(ISNUMBER(SEARCH("Quote Sent",P55)),"Follow up quote approval weekly + add JC comment",IF(ISNUMBER(SEARCH("Awaiting install",P55)),"Confirm install date/ETA + update JC",IF(ISNUMBER(SEARCH("Schedule",P55)),"Schedule/confirm tech action",IF(AZ55="YES",IF(N55&lt;=2,"Troubleshoot remotely + comment evidence",IF(N55&lt;=5,"Email/call client + record who/when/outcome","Escalate to Lindy + agree action plan")),"Check current status + add clear JC comment")))))</x:f>
        <x:v>Escalate to Lindy + agree action plan</x:v>
      </x:c>
      <x:c r="BD55" t="n">
        <x:f>IF(AZ55="YES",6-N55,"")</x:f>
        <x:v>-24</x:v>
      </x:c>
      <x:c r="BE55" t="str">
        <x:f>IF(AY55="YES","Comment must show: date, contact person, method, outcome, next action","")</x:f>
        <x:v>Comment must show: date, contact person, method, outcome, next action</x:v>
      </x:c>
      <x:c r="BF55" t="str">
        <x:f>IF(AND(AY55="YES",O55&gt;=7),"Stuck in status 7+ days","")</x:f>
        <x:v>Stuck in status 7+ days</x:v>
      </x:c>
    </x:row>
    <x:row r="56">
      <x:c r="A56" t="s">
        <x:v>109</x:v>
      </x:c>
      <x:c r="B56" t="s">
        <x:v>854</x:v>
      </x:c>
      <x:c r="C56" t="s">
        <x:v>582</x:v>
      </x:c>
      <x:c r="D56" t="s">
        <x:v>583</x:v>
      </x:c>
      <x:c r="E56" t="s">
        <x:v>54</x:v>
      </x:c>
      <x:c r="F56" t="s">
        <x:v>584</x:v>
      </x:c>
      <x:c r="G56" t="s">
        <x:v>585</x:v>
      </x:c>
      <x:c r="H56" t="s">
        <x:v>586</x:v>
      </x:c>
      <x:c r="I56" t="s">
        <x:v>57</x:v>
      </x:c>
      <x:c r="J56" t="s">
        <x:v>855</x:v>
      </x:c>
      <x:c r="K56" t="s">
        <x:v>54</x:v>
      </x:c>
      <x:c r="L56" t="s">
        <x:v>856</x:v>
      </x:c>
      <x:c r="M56" t="s">
        <x:v>857</x:v>
      </x:c>
      <x:c r="N56">
        <x:v>30</x:v>
      </x:c>
      <x:c r="O56">
        <x:v>14</x:v>
      </x:c>
      <x:c r="P56" t="s">
        <x:v>230</x:v>
      </x:c>
      <x:c r="Q56" t="s">
        <x:v>858</x:v>
      </x:c>
      <x:c r="R56" t="s">
        <x:v>54</x:v>
      </x:c>
      <x:c r="S56" t="s">
        <x:v>54</x:v>
      </x:c>
      <x:c r="T56" t="s">
        <x:v>54</x:v>
      </x:c>
      <x:c r="U56" t="s">
        <x:v>859</x:v>
      </x:c>
      <x:c r="V56" t="s">
        <x:v>54</x:v>
      </x:c>
      <x:c r="W56" t="s">
        <x:v>54</x:v>
      </x:c>
      <x:c r="X56" t="s">
        <x:v>54</x:v>
      </x:c>
      <x:c r="Y56" t="s">
        <x:v>860</x:v>
      </x:c>
      <x:c r="Z56" t="s">
        <x:v>697</x:v>
      </x:c>
      <x:c r="AA56" t="s">
        <x:v>861</x:v>
      </x:c>
      <x:c r="AB56" t="s">
        <x:v>54</x:v>
      </x:c>
      <x:c r="AC56" t="s">
        <x:v>166</x:v>
      </x:c>
      <x:c r="AD56" t="s">
        <x:v>54</x:v>
      </x:c>
      <x:c r="AE56" t="s">
        <x:v>54</x:v>
      </x:c>
      <x:c r="AF56" t="s">
        <x:v>54</x:v>
      </x:c>
      <x:c r="AG56" t="s">
        <x:v>862</x:v>
      </x:c>
      <x:c r="AH56" t="s">
        <x:v>54</x:v>
      </x:c>
      <x:c r="AI56" t="s">
        <x:v>54</x:v>
      </x:c>
      <x:c r="AJ56" t="s">
        <x:v>54</x:v>
      </x:c>
      <x:c r="AK56" t="s">
        <x:v>54</x:v>
      </x:c>
      <x:c r="AL56" t="s">
        <x:v>54</x:v>
      </x:c>
      <x:c r="AM56" t="s">
        <x:v>863</x:v>
      </x:c>
      <x:c r="AN56" t="s">
        <x:v>616</x:v>
      </x:c>
      <x:c r="AO56" t="s">
        <x:v>54</x:v>
      </x:c>
      <x:c r="AP56" t="s">
        <x:v>54</x:v>
      </x:c>
      <x:c r="AQ56" t="b">
        <x:v>0</x:v>
      </x:c>
      <x:c r="AR56" t="s">
        <x:v>239</x:v>
      </x:c>
      <x:c r="AS56" t="s">
        <x:v>54</x:v>
      </x:c>
      <x:c r="AT56" t="s">
        <x:v>73</x:v>
      </x:c>
      <x:c r="AU56" t="s">
        <x:v>857</x:v>
      </x:c>
      <x:c r="AV56" t="s">
        <x:v>75</x:v>
      </x:c>
      <x:c r="AW56" t="s">
        <x:v>155</x:v>
      </x:c>
      <x:c r="AX56" t="s">
        <x:v>858</x:v>
      </x:c>
      <x:c r="AY56" t="str">
        <x:f>IF(AND(ISNUMBER(SEARCH("Donovan",AC56)),OR(AT56=TRUE,AT56="TRUE"),OR(AQ56=FALSE,AQ56="FALSE")),"YES","NO")</x:f>
        <x:v>YES</x:v>
      </x:c>
      <x:c r="AZ56" t="str">
        <x:f>IF(AND(AY56="YES",LEFT(I56,2)="FF"),"YES","NO")</x:f>
        <x:v>YES</x:v>
      </x:c>
      <x:c r="BA56" t="str">
        <x:f>IF(AZ56&lt;&gt;"YES","Not FF focus",IF(N56&lt;=2,"0-2 Remote Window",IF(N56&lt;=5,"3-5 Client Follow-up",IF(N56=6,"Day 6 Escalate","7+ Overdue"))))</x:f>
        <x:v>7+ Overdue</x:v>
      </x:c>
      <x:c r="BB56" t="str">
        <x:f>IF(AZ56&lt;&gt;"YES","Excluded",IF(N56&lt;=2,"On Track",IF(N56&lt;=5,"Warning",IF(N56=6,"Escalate Today","Overdue"))))</x:f>
        <x:v>Overdue</x:v>
      </x:c>
      <x:c r="BC56" t="str">
        <x:f>IF(AY56&lt;&gt;"YES","",IF(ISNUMBER(SEARCH("Quote Sent",P56)),"Follow up quote approval weekly + add JC comment",IF(ISNUMBER(SEARCH("Awaiting install",P56)),"Confirm install date/ETA + update JC",IF(ISNUMBER(SEARCH("Schedule",P56)),"Schedule/confirm tech action",IF(AZ56="YES",IF(N56&lt;=2,"Troubleshoot remotely + comment evidence",IF(N56&lt;=5,"Email/call client + record who/when/outcome","Escalate to Lindy + agree action plan")),"Check current status + add clear JC comment")))))</x:f>
        <x:v>Follow up quote approval weekly + add JC comment</x:v>
      </x:c>
      <x:c r="BD56" t="n">
        <x:f>IF(AZ56="YES",6-N56,"")</x:f>
        <x:v>-24</x:v>
      </x:c>
      <x:c r="BE56" t="str">
        <x:f>IF(AY56="YES","Comment must show: date, contact person, method, outcome, next action","")</x:f>
        <x:v>Comment must show: date, contact person, method, outcome, next action</x:v>
      </x:c>
      <x:c r="BF56" t="str">
        <x:f>IF(AND(AY56="YES",O56&gt;=7),"Stuck in status 7+ days","")</x:f>
        <x:v>Stuck in status 7+ days</x:v>
      </x:c>
    </x:row>
    <x:row r="57">
      <x:c r="A57" t="s">
        <x:v>109</x:v>
      </x:c>
      <x:c r="B57" t="s">
        <x:v>864</x:v>
      </x:c>
      <x:c r="C57" t="s">
        <x:v>865</x:v>
      </x:c>
      <x:c r="D57" t="s">
        <x:v>866</x:v>
      </x:c>
      <x:c r="E57" t="s">
        <x:v>54</x:v>
      </x:c>
      <x:c r="F57" t="s">
        <x:v>867</x:v>
      </x:c>
      <x:c r="G57" t="s">
        <x:v>868</x:v>
      </x:c>
      <x:c r="H57" t="s">
        <x:v>54</x:v>
      </x:c>
      <x:c r="I57" t="s">
        <x:v>142</x:v>
      </x:c>
      <x:c r="J57" t="s">
        <x:v>869</x:v>
      </x:c>
      <x:c r="K57" t="s">
        <x:v>54</x:v>
      </x:c>
      <x:c r="L57" t="s">
        <x:v>870</x:v>
      </x:c>
      <x:c r="M57" t="s">
        <x:v>871</x:v>
      </x:c>
      <x:c r="N57">
        <x:v>30</x:v>
      </x:c>
      <x:c r="O57">
        <x:v>28</x:v>
      </x:c>
      <x:c r="P57" t="s">
        <x:v>146</x:v>
      </x:c>
      <x:c r="Q57" t="s">
        <x:v>872</x:v>
      </x:c>
      <x:c r="R57" t="s">
        <x:v>54</x:v>
      </x:c>
      <x:c r="S57" t="s">
        <x:v>54</x:v>
      </x:c>
      <x:c r="T57" t="s">
        <x:v>54</x:v>
      </x:c>
      <x:c r="U57" t="s">
        <x:v>873</x:v>
      </x:c>
      <x:c r="V57" t="s">
        <x:v>54</x:v>
      </x:c>
      <x:c r="W57" t="s">
        <x:v>54</x:v>
      </x:c>
      <x:c r="X57" t="s">
        <x:v>54</x:v>
      </x:c>
      <x:c r="Y57" t="s">
        <x:v>54</x:v>
      </x:c>
      <x:c r="Z57" t="s">
        <x:v>54</x:v>
      </x:c>
      <x:c r="AA57" t="s">
        <x:v>54</x:v>
      </x:c>
      <x:c r="AB57" t="s">
        <x:v>54</x:v>
      </x:c>
      <x:c r="AC57" t="s">
        <x:v>166</x:v>
      </x:c>
      <x:c r="AD57" t="s">
        <x:v>54</x:v>
      </x:c>
      <x:c r="AE57" t="s">
        <x:v>54</x:v>
      </x:c>
      <x:c r="AF57" t="s">
        <x:v>54</x:v>
      </x:c>
      <x:c r="AG57" t="s">
        <x:v>54</x:v>
      </x:c>
      <x:c r="AH57" t="s">
        <x:v>54</x:v>
      </x:c>
      <x:c r="AI57" t="s">
        <x:v>54</x:v>
      </x:c>
      <x:c r="AJ57" t="s">
        <x:v>54</x:v>
      </x:c>
      <x:c r="AK57" t="s">
        <x:v>54</x:v>
      </x:c>
      <x:c r="AL57" t="s">
        <x:v>54</x:v>
      </x:c>
      <x:c r="AM57" t="s">
        <x:v>54</x:v>
      </x:c>
      <x:c r="AN57" t="s">
        <x:v>54</x:v>
      </x:c>
      <x:c r="AO57" t="s">
        <x:v>54</x:v>
      </x:c>
      <x:c r="AP57" t="s">
        <x:v>54</x:v>
      </x:c>
      <x:c r="AQ57" t="b">
        <x:v>0</x:v>
      </x:c>
      <x:c r="AR57" t="s">
        <x:v>207</x:v>
      </x:c>
      <x:c r="AS57" t="s">
        <x:v>54</x:v>
      </x:c>
      <x:c r="AT57" t="s">
        <x:v>73</x:v>
      </x:c>
      <x:c r="AU57" t="s">
        <x:v>871</x:v>
      </x:c>
      <x:c r="AV57" t="s">
        <x:v>734</x:v>
      </x:c>
      <x:c r="AW57" t="s">
        <x:v>734</x:v>
      </x:c>
      <x:c r="AX57" t="s">
        <x:v>874</x:v>
      </x:c>
      <x:c r="AY57" t="str">
        <x:f>IF(AND(ISNUMBER(SEARCH("Donovan",AC57)),OR(AT57=TRUE,AT57="TRUE"),OR(AQ57=FALSE,AQ57="FALSE")),"YES","NO")</x:f>
        <x:v>YES</x:v>
      </x:c>
      <x:c r="AZ57" t="str">
        <x:f>IF(AND(AY57="YES",LEFT(I57,2)="FF"),"YES","NO")</x:f>
        <x:v>NO</x:v>
      </x:c>
      <x:c r="BA57" t="str">
        <x:f>IF(AZ57&lt;&gt;"YES","Not FF focus",IF(N57&lt;=2,"0-2 Remote Window",IF(N57&lt;=5,"3-5 Client Follow-up",IF(N57=6,"Day 6 Escalate","7+ Overdue"))))</x:f>
        <x:v>Not FF focus</x:v>
      </x:c>
      <x:c r="BB57" t="str">
        <x:f>IF(AZ57&lt;&gt;"YES","Excluded",IF(N57&lt;=2,"On Track",IF(N57&lt;=5,"Warning",IF(N57=6,"Escalate Today","Overdue"))))</x:f>
        <x:v>Excluded</x:v>
      </x:c>
      <x:c r="BC57" t="str">
        <x:f>IF(AY57&lt;&gt;"YES","",IF(ISNUMBER(SEARCH("Quote Sent",P57)),"Follow up quote approval weekly + add JC comment",IF(ISNUMBER(SEARCH("Awaiting install",P57)),"Confirm install date/ETA + update JC",IF(ISNUMBER(SEARCH("Schedule",P57)),"Schedule/confirm tech action",IF(AZ57="YES",IF(N57&lt;=2,"Troubleshoot remotely + comment evidence",IF(N57&lt;=5,"Email/call client + record who/when/outcome","Escalate to Lindy + agree action plan")),"Check current status + add clear JC comment")))))</x:f>
        <x:v>Follow up quote approval weekly + add JC comment</x:v>
      </x:c>
      <x:c r="BD57" t="str">
        <x:f>IF(AZ57="YES",6-N57,"")</x:f>
      </x:c>
      <x:c r="BE57" t="str">
        <x:f>IF(AY57="YES","Comment must show: date, contact person, method, outcome, next action","")</x:f>
        <x:v>Comment must show: date, contact person, method, outcome, next action</x:v>
      </x:c>
      <x:c r="BF57" t="str">
        <x:f>IF(AND(AY57="YES",O57&gt;=7),"Stuck in status 7+ days","")</x:f>
        <x:v>Stuck in status 7+ days</x:v>
      </x:c>
    </x:row>
    <x:row r="58">
      <x:c r="A58" t="s">
        <x:v>109</x:v>
      </x:c>
      <x:c r="B58" t="s">
        <x:v>875</x:v>
      </x:c>
      <x:c r="C58" t="s">
        <x:v>876</x:v>
      </x:c>
      <x:c r="D58" t="s">
        <x:v>877</x:v>
      </x:c>
      <x:c r="E58" t="s">
        <x:v>54</x:v>
      </x:c>
      <x:c r="F58" t="s">
        <x:v>878</x:v>
      </x:c>
      <x:c r="G58" t="s">
        <x:v>879</x:v>
      </x:c>
      <x:c r="H58" t="s">
        <x:v>54</x:v>
      </x:c>
      <x:c r="I58" t="s">
        <x:v>95</x:v>
      </x:c>
      <x:c r="J58" t="s">
        <x:v>880</x:v>
      </x:c>
      <x:c r="K58" t="s">
        <x:v>54</x:v>
      </x:c>
      <x:c r="L58" t="s">
        <x:v>881</x:v>
      </x:c>
      <x:c r="M58" t="s">
        <x:v>882</x:v>
      </x:c>
      <x:c r="N58">
        <x:v>30</x:v>
      </x:c>
      <x:c r="O58">
        <x:v>29</x:v>
      </x:c>
      <x:c r="P58" t="s">
        <x:v>99</x:v>
      </x:c>
      <x:c r="Q58" t="s">
        <x:v>883</x:v>
      </x:c>
      <x:c r="R58" t="s">
        <x:v>54</x:v>
      </x:c>
      <x:c r="S58" t="s">
        <x:v>54</x:v>
      </x:c>
      <x:c r="T58" t="s">
        <x:v>54</x:v>
      </x:c>
      <x:c r="U58" t="s">
        <x:v>54</x:v>
      </x:c>
      <x:c r="V58" t="s">
        <x:v>54</x:v>
      </x:c>
      <x:c r="W58" t="s">
        <x:v>54</x:v>
      </x:c>
      <x:c r="X58" t="s">
        <x:v>54</x:v>
      </x:c>
      <x:c r="Y58" t="s">
        <x:v>884</x:v>
      </x:c>
      <x:c r="Z58" t="s">
        <x:v>885</x:v>
      </x:c>
      <x:c r="AA58" t="s">
        <x:v>886</x:v>
      </x:c>
      <x:c r="AB58" t="s">
        <x:v>54</x:v>
      </x:c>
      <x:c r="AC58" t="s">
        <x:v>122</x:v>
      </x:c>
      <x:c r="AD58" t="s">
        <x:v>54</x:v>
      </x:c>
      <x:c r="AE58" t="s">
        <x:v>54</x:v>
      </x:c>
      <x:c r="AF58" t="s">
        <x:v>54</x:v>
      </x:c>
      <x:c r="AG58" t="s">
        <x:v>887</x:v>
      </x:c>
      <x:c r="AH58" t="s">
        <x:v>54</x:v>
      </x:c>
      <x:c r="AI58" t="s">
        <x:v>54</x:v>
      </x:c>
      <x:c r="AJ58" t="s">
        <x:v>54</x:v>
      </x:c>
      <x:c r="AK58" t="s">
        <x:v>54</x:v>
      </x:c>
      <x:c r="AL58" t="s">
        <x:v>54</x:v>
      </x:c>
      <x:c r="AM58" t="s">
        <x:v>888</x:v>
      </x:c>
      <x:c r="AN58" t="s">
        <x:v>889</x:v>
      </x:c>
      <x:c r="AO58" t="s">
        <x:v>54</x:v>
      </x:c>
      <x:c r="AP58" t="s">
        <x:v>54</x:v>
      </x:c>
      <x:c r="AQ58" t="b">
        <x:v>0</x:v>
      </x:c>
      <x:c r="AR58" t="s">
        <x:v>792</x:v>
      </x:c>
      <x:c r="AS58" t="s">
        <x:v>54</x:v>
      </x:c>
      <x:c r="AT58" t="s">
        <x:v>73</x:v>
      </x:c>
      <x:c r="AU58" t="s">
        <x:v>890</x:v>
      </x:c>
      <x:c r="AV58" t="s">
        <x:v>75</x:v>
      </x:c>
      <x:c r="AW58" t="s">
        <x:v>422</x:v>
      </x:c>
      <x:c r="AX58" t="s">
        <x:v>891</x:v>
      </x:c>
      <x:c r="AY58" t="str">
        <x:f>IF(AND(ISNUMBER(SEARCH("Donovan",AC58)),OR(AT58=TRUE,AT58="TRUE"),OR(AQ58=FALSE,AQ58="FALSE")),"YES","NO")</x:f>
        <x:v>YES</x:v>
      </x:c>
      <x:c r="AZ58" t="str">
        <x:f>IF(AND(AY58="YES",LEFT(I58,2)="FF"),"YES","NO")</x:f>
        <x:v>YES</x:v>
      </x:c>
      <x:c r="BA58" t="str">
        <x:f>IF(AZ58&lt;&gt;"YES","Not FF focus",IF(N58&lt;=2,"0-2 Remote Window",IF(N58&lt;=5,"3-5 Client Follow-up",IF(N58=6,"Day 6 Escalate","7+ Overdue"))))</x:f>
        <x:v>7+ Overdue</x:v>
      </x:c>
      <x:c r="BB58" t="str">
        <x:f>IF(AZ58&lt;&gt;"YES","Excluded",IF(N58&lt;=2,"On Track",IF(N58&lt;=5,"Warning",IF(N58=6,"Escalate Today","Overdue"))))</x:f>
        <x:v>Overdue</x:v>
      </x:c>
      <x:c r="BC58" t="str">
        <x:f>IF(AY58&lt;&gt;"YES","",IF(ISNUMBER(SEARCH("Quote Sent",P58)),"Follow up quote approval weekly + add JC comment",IF(ISNUMBER(SEARCH("Awaiting install",P58)),"Confirm install date/ETA + update JC",IF(ISNUMBER(SEARCH("Schedule",P58)),"Schedule/confirm tech action",IF(AZ58="YES",IF(N58&lt;=2,"Troubleshoot remotely + comment evidence",IF(N58&lt;=5,"Email/call client + record who/when/outcome","Escalate to Lindy + agree action plan")),"Check current status + add clear JC comment")))))</x:f>
        <x:v>Schedule/confirm tech action</x:v>
      </x:c>
      <x:c r="BD58" t="n">
        <x:f>IF(AZ58="YES",6-N58,"")</x:f>
        <x:v>-24</x:v>
      </x:c>
      <x:c r="BE58" t="str">
        <x:f>IF(AY58="YES","Comment must show: date, contact person, method, outcome, next action","")</x:f>
        <x:v>Comment must show: date, contact person, method, outcome, next action</x:v>
      </x:c>
      <x:c r="BF58" t="str">
        <x:f>IF(AND(AY58="YES",O58&gt;=7),"Stuck in status 7+ days","")</x:f>
        <x:v>Stuck in status 7+ days</x:v>
      </x:c>
    </x:row>
    <x:row r="59">
      <x:c r="A59" t="s">
        <x:v>109</x:v>
      </x:c>
      <x:c r="B59" t="s">
        <x:v>892</x:v>
      </x:c>
      <x:c r="C59" t="s">
        <x:v>893</x:v>
      </x:c>
      <x:c r="D59" t="s">
        <x:v>894</x:v>
      </x:c>
      <x:c r="E59" t="s">
        <x:v>54</x:v>
      </x:c>
      <x:c r="F59" t="s">
        <x:v>895</x:v>
      </x:c>
      <x:c r="G59" t="s">
        <x:v>896</x:v>
      </x:c>
      <x:c r="H59" t="s">
        <x:v>897</x:v>
      </x:c>
      <x:c r="I59" t="s">
        <x:v>522</x:v>
      </x:c>
      <x:c r="J59" t="s">
        <x:v>898</x:v>
      </x:c>
      <x:c r="K59" t="s">
        <x:v>54</x:v>
      </x:c>
      <x:c r="L59" t="s">
        <x:v>899</x:v>
      </x:c>
      <x:c r="M59" t="s">
        <x:v>900</x:v>
      </x:c>
      <x:c r="N59">
        <x:v>30</x:v>
      </x:c>
      <x:c r="O59">
        <x:v>2</x:v>
      </x:c>
      <x:c r="P59" t="s">
        <x:v>901</x:v>
      </x:c>
      <x:c r="Q59" t="s">
        <x:v>902</x:v>
      </x:c>
      <x:c r="R59" t="s">
        <x:v>54</x:v>
      </x:c>
      <x:c r="S59" t="s">
        <x:v>54</x:v>
      </x:c>
      <x:c r="T59" t="s">
        <x:v>54</x:v>
      </x:c>
      <x:c r="U59" t="s">
        <x:v>54</x:v>
      </x:c>
      <x:c r="V59" t="s">
        <x:v>54</x:v>
      </x:c>
      <x:c r="W59" t="s">
        <x:v>54</x:v>
      </x:c>
      <x:c r="X59" t="s">
        <x:v>54</x:v>
      </x:c>
      <x:c r="Y59" t="s">
        <x:v>903</x:v>
      </x:c>
      <x:c r="Z59" t="s">
        <x:v>849</x:v>
      </x:c>
      <x:c r="AA59" t="s">
        <x:v>904</x:v>
      </x:c>
      <x:c r="AB59" t="s">
        <x:v>54</x:v>
      </x:c>
      <x:c r="AC59" t="s">
        <x:v>122</x:v>
      </x:c>
      <x:c r="AD59" t="s">
        <x:v>54</x:v>
      </x:c>
      <x:c r="AE59" t="s">
        <x:v>54</x:v>
      </x:c>
      <x:c r="AF59" t="s">
        <x:v>54</x:v>
      </x:c>
      <x:c r="AG59" t="s">
        <x:v>905</x:v>
      </x:c>
      <x:c r="AH59" t="s">
        <x:v>54</x:v>
      </x:c>
      <x:c r="AI59" t="s">
        <x:v>54</x:v>
      </x:c>
      <x:c r="AJ59" t="s">
        <x:v>54</x:v>
      </x:c>
      <x:c r="AK59" t="s">
        <x:v>54</x:v>
      </x:c>
      <x:c r="AL59" t="s">
        <x:v>54</x:v>
      </x:c>
      <x:c r="AM59" t="s">
        <x:v>888</x:v>
      </x:c>
      <x:c r="AN59" t="s">
        <x:v>906</x:v>
      </x:c>
      <x:c r="AO59" t="s">
        <x:v>54</x:v>
      </x:c>
      <x:c r="AP59" t="s">
        <x:v>54</x:v>
      </x:c>
      <x:c r="AQ59" t="b">
        <x:v>0</x:v>
      </x:c>
      <x:c r="AR59" t="s">
        <x:v>907</x:v>
      </x:c>
      <x:c r="AS59" t="s">
        <x:v>54</x:v>
      </x:c>
      <x:c r="AT59" t="s">
        <x:v>73</x:v>
      </x:c>
      <x:c r="AU59" t="s">
        <x:v>908</x:v>
      </x:c>
      <x:c r="AV59" t="s">
        <x:v>75</x:v>
      </x:c>
      <x:c r="AW59" t="s">
        <x:v>88</x:v>
      </x:c>
      <x:c r="AX59" t="s">
        <x:v>909</x:v>
      </x:c>
      <x:c r="AY59" t="str">
        <x:f>IF(AND(ISNUMBER(SEARCH("Donovan",AC59)),OR(AT59=TRUE,AT59="TRUE"),OR(AQ59=FALSE,AQ59="FALSE")),"YES","NO")</x:f>
        <x:v>YES</x:v>
      </x:c>
      <x:c r="AZ59" t="str">
        <x:f>IF(AND(AY59="YES",LEFT(I59,2)="FF"),"YES","NO")</x:f>
        <x:v>YES</x:v>
      </x:c>
      <x:c r="BA59" t="str">
        <x:f>IF(AZ59&lt;&gt;"YES","Not FF focus",IF(N59&lt;=2,"0-2 Remote Window",IF(N59&lt;=5,"3-5 Client Follow-up",IF(N59=6,"Day 6 Escalate","7+ Overdue"))))</x:f>
        <x:v>7+ Overdue</x:v>
      </x:c>
      <x:c r="BB59" t="str">
        <x:f>IF(AZ59&lt;&gt;"YES","Excluded",IF(N59&lt;=2,"On Track",IF(N59&lt;=5,"Warning",IF(N59=6,"Escalate Today","Overdue"))))</x:f>
        <x:v>Overdue</x:v>
      </x:c>
      <x:c r="BC59" t="str">
        <x:f>IF(AY59&lt;&gt;"YES","",IF(ISNUMBER(SEARCH("Quote Sent",P59)),"Follow up quote approval weekly + add JC comment",IF(ISNUMBER(SEARCH("Awaiting install",P59)),"Confirm install date/ETA + update JC",IF(ISNUMBER(SEARCH("Schedule",P59)),"Schedule/confirm tech action",IF(AZ59="YES",IF(N59&lt;=2,"Troubleshoot remotely + comment evidence",IF(N59&lt;=5,"Email/call client + record who/when/outcome","Escalate to Lindy + agree action plan")),"Check current status + add clear JC comment")))))</x:f>
        <x:v>Escalate to Lindy + agree action plan</x:v>
      </x:c>
      <x:c r="BD59" t="n">
        <x:f>IF(AZ59="YES",6-N59,"")</x:f>
        <x:v>-24</x:v>
      </x:c>
      <x:c r="BE59" t="str">
        <x:f>IF(AY59="YES","Comment must show: date, contact person, method, outcome, next action","")</x:f>
        <x:v>Comment must show: date, contact person, method, outcome, next action</x:v>
      </x:c>
      <x:c r="BF59" t="str">
        <x:f>IF(AND(AY59="YES",O59&gt;=7),"Stuck in status 7+ days","")</x:f>
      </x:c>
    </x:row>
    <x:row r="60">
      <x:c r="A60" t="s">
        <x:v>109</x:v>
      </x:c>
      <x:c r="B60" t="s">
        <x:v>910</x:v>
      </x:c>
      <x:c r="C60" t="s">
        <x:v>911</x:v>
      </x:c>
      <x:c r="D60" t="s">
        <x:v>912</x:v>
      </x:c>
      <x:c r="E60" t="s">
        <x:v>54</x:v>
      </x:c>
      <x:c r="F60" t="s">
        <x:v>913</x:v>
      </x:c>
      <x:c r="G60" t="s">
        <x:v>914</x:v>
      </x:c>
      <x:c r="H60" t="s">
        <x:v>915</x:v>
      </x:c>
      <x:c r="I60" t="s">
        <x:v>142</x:v>
      </x:c>
      <x:c r="J60" t="s">
        <x:v>916</x:v>
      </x:c>
      <x:c r="K60" t="s">
        <x:v>54</x:v>
      </x:c>
      <x:c r="L60" t="s">
        <x:v>917</x:v>
      </x:c>
      <x:c r="M60" t="s">
        <x:v>918</x:v>
      </x:c>
      <x:c r="N60">
        <x:v>29</x:v>
      </x:c>
      <x:c r="O60">
        <x:v>29</x:v>
      </x:c>
      <x:c r="P60" t="s">
        <x:v>686</x:v>
      </x:c>
      <x:c r="Q60" t="s">
        <x:v>919</x:v>
      </x:c>
      <x:c r="R60" t="s">
        <x:v>54</x:v>
      </x:c>
      <x:c r="S60" t="s">
        <x:v>54</x:v>
      </x:c>
      <x:c r="T60" t="s">
        <x:v>54</x:v>
      </x:c>
      <x:c r="U60" t="s">
        <x:v>54</x:v>
      </x:c>
      <x:c r="V60" t="s">
        <x:v>54</x:v>
      </x:c>
      <x:c r="W60" t="s">
        <x:v>54</x:v>
      </x:c>
      <x:c r="X60" t="s">
        <x:v>54</x:v>
      </x:c>
      <x:c r="Y60" t="s">
        <x:v>54</x:v>
      </x:c>
      <x:c r="Z60" t="s">
        <x:v>54</x:v>
      </x:c>
      <x:c r="AA60" t="s">
        <x:v>54</x:v>
      </x:c>
      <x:c r="AB60" t="s">
        <x:v>54</x:v>
      </x:c>
      <x:c r="AC60" t="s">
        <x:v>350</x:v>
      </x:c>
      <x:c r="AD60" t="s">
        <x:v>54</x:v>
      </x:c>
      <x:c r="AE60" t="s">
        <x:v>54</x:v>
      </x:c>
      <x:c r="AF60" t="s">
        <x:v>54</x:v>
      </x:c>
      <x:c r="AG60" t="s">
        <x:v>54</x:v>
      </x:c>
      <x:c r="AH60" t="s">
        <x:v>54</x:v>
      </x:c>
      <x:c r="AI60" t="s">
        <x:v>54</x:v>
      </x:c>
      <x:c r="AJ60" t="s">
        <x:v>54</x:v>
      </x:c>
      <x:c r="AK60" t="s">
        <x:v>54</x:v>
      </x:c>
      <x:c r="AL60" t="s">
        <x:v>54</x:v>
      </x:c>
      <x:c r="AM60" t="s">
        <x:v>54</x:v>
      </x:c>
      <x:c r="AN60" t="s">
        <x:v>54</x:v>
      </x:c>
      <x:c r="AO60" t="s">
        <x:v>54</x:v>
      </x:c>
      <x:c r="AP60" t="s">
        <x:v>54</x:v>
      </x:c>
      <x:c r="AQ60" t="b">
        <x:v>0</x:v>
      </x:c>
      <x:c r="AR60" t="s">
        <x:v>688</x:v>
      </x:c>
      <x:c r="AS60" t="s">
        <x:v>54</x:v>
      </x:c>
      <x:c r="AT60" t="s">
        <x:v>73</x:v>
      </x:c>
      <x:c r="AU60" t="s">
        <x:v>918</x:v>
      </x:c>
      <x:c r="AV60" t="s">
        <x:v>734</x:v>
      </x:c>
      <x:c r="AW60" t="s">
        <x:v>88</x:v>
      </x:c>
      <x:c r="AX60" t="s">
        <x:v>920</x:v>
      </x:c>
      <x:c r="AY60" t="str">
        <x:f>IF(AND(ISNUMBER(SEARCH("Donovan",AC60)),OR(AT60=TRUE,AT60="TRUE"),OR(AQ60=FALSE,AQ60="FALSE")),"YES","NO")</x:f>
        <x:v>YES</x:v>
      </x:c>
      <x:c r="AZ60" t="str">
        <x:f>IF(AND(AY60="YES",LEFT(I60,2)="FF"),"YES","NO")</x:f>
        <x:v>NO</x:v>
      </x:c>
      <x:c r="BA60" t="str">
        <x:f>IF(AZ60&lt;&gt;"YES","Not FF focus",IF(N60&lt;=2,"0-2 Remote Window",IF(N60&lt;=5,"3-5 Client Follow-up",IF(N60=6,"Day 6 Escalate","7+ Overdue"))))</x:f>
        <x:v>Not FF focus</x:v>
      </x:c>
      <x:c r="BB60" t="str">
        <x:f>IF(AZ60&lt;&gt;"YES","Excluded",IF(N60&lt;=2,"On Track",IF(N60&lt;=5,"Warning",IF(N60=6,"Escalate Today","Overdue"))))</x:f>
        <x:v>Excluded</x:v>
      </x:c>
      <x:c r="BC60" t="str">
        <x:f>IF(AY60&lt;&gt;"YES","",IF(ISNUMBER(SEARCH("Quote Sent",P60)),"Follow up quote approval weekly + add JC comment",IF(ISNUMBER(SEARCH("Awaiting install",P60)),"Confirm install date/ETA + update JC",IF(ISNUMBER(SEARCH("Schedule",P60)),"Schedule/confirm tech action",IF(AZ60="YES",IF(N60&lt;=2,"Troubleshoot remotely + comment evidence",IF(N60&lt;=5,"Email/call client + record who/when/outcome","Escalate to Lindy + agree action plan")),"Check current status + add clear JC comment")))))</x:f>
        <x:v>Schedule/confirm tech action</x:v>
      </x:c>
      <x:c r="BD60" t="str">
        <x:f>IF(AZ60="YES",6-N60,"")</x:f>
      </x:c>
      <x:c r="BE60" t="str">
        <x:f>IF(AY60="YES","Comment must show: date, contact person, method, outcome, next action","")</x:f>
        <x:v>Comment must show: date, contact person, method, outcome, next action</x:v>
      </x:c>
      <x:c r="BF60" t="str">
        <x:f>IF(AND(AY60="YES",O60&gt;=7),"Stuck in status 7+ days","")</x:f>
        <x:v>Stuck in status 7+ days</x:v>
      </x:c>
    </x:row>
    <x:row r="61">
      <x:c r="A61" t="s">
        <x:v>109</x:v>
      </x:c>
      <x:c r="B61" t="s">
        <x:v>921</x:v>
      </x:c>
      <x:c r="C61" t="s">
        <x:v>483</x:v>
      </x:c>
      <x:c r="D61" t="s">
        <x:v>484</x:v>
      </x:c>
      <x:c r="E61" t="s">
        <x:v>54</x:v>
      </x:c>
      <x:c r="F61" t="s">
        <x:v>485</x:v>
      </x:c>
      <x:c r="G61" t="s">
        <x:v>486</x:v>
      </x:c>
      <x:c r="H61" t="s">
        <x:v>487</x:v>
      </x:c>
      <x:c r="I61" t="s">
        <x:v>115</x:v>
      </x:c>
      <x:c r="J61" t="s">
        <x:v>922</x:v>
      </x:c>
      <x:c r="K61" t="s">
        <x:v>54</x:v>
      </x:c>
      <x:c r="L61" t="s">
        <x:v>489</x:v>
      </x:c>
      <x:c r="M61" t="s">
        <x:v>923</x:v>
      </x:c>
      <x:c r="N61">
        <x:v>29</x:v>
      </x:c>
      <x:c r="O61">
        <x:v>2</x:v>
      </x:c>
      <x:c r="P61" t="s">
        <x:v>186</x:v>
      </x:c>
      <x:c r="Q61" t="s">
        <x:v>924</x:v>
      </x:c>
      <x:c r="R61" t="s">
        <x:v>54</x:v>
      </x:c>
      <x:c r="S61" t="s">
        <x:v>54</x:v>
      </x:c>
      <x:c r="T61" t="s">
        <x:v>54</x:v>
      </x:c>
      <x:c r="U61" t="s">
        <x:v>54</x:v>
      </x:c>
      <x:c r="V61" t="s">
        <x:v>54</x:v>
      </x:c>
      <x:c r="W61" t="s">
        <x:v>54</x:v>
      </x:c>
      <x:c r="X61" t="s">
        <x:v>54</x:v>
      </x:c>
      <x:c r="Y61" t="s">
        <x:v>54</x:v>
      </x:c>
      <x:c r="Z61" t="s">
        <x:v>54</x:v>
      </x:c>
      <x:c r="AA61" t="s">
        <x:v>54</x:v>
      </x:c>
      <x:c r="AB61" t="s">
        <x:v>54</x:v>
      </x:c>
      <x:c r="AC61" t="s">
        <x:v>925</x:v>
      </x:c>
      <x:c r="AD61" t="s">
        <x:v>54</x:v>
      </x:c>
      <x:c r="AE61" t="s">
        <x:v>54</x:v>
      </x:c>
      <x:c r="AF61" t="s">
        <x:v>54</x:v>
      </x:c>
      <x:c r="AG61" t="s">
        <x:v>54</x:v>
      </x:c>
      <x:c r="AH61" t="s">
        <x:v>54</x:v>
      </x:c>
      <x:c r="AI61" t="s">
        <x:v>54</x:v>
      </x:c>
      <x:c r="AJ61" t="s">
        <x:v>54</x:v>
      </x:c>
      <x:c r="AK61" t="s">
        <x:v>54</x:v>
      </x:c>
      <x:c r="AL61" t="s">
        <x:v>54</x:v>
      </x:c>
      <x:c r="AM61" t="s">
        <x:v>54</x:v>
      </x:c>
      <x:c r="AN61" t="s">
        <x:v>54</x:v>
      </x:c>
      <x:c r="AO61" t="s">
        <x:v>54</x:v>
      </x:c>
      <x:c r="AP61" t="s">
        <x:v>54</x:v>
      </x:c>
      <x:c r="AQ61" t="b">
        <x:v>0</x:v>
      </x:c>
      <x:c r="AR61" t="s">
        <x:v>926</x:v>
      </x:c>
      <x:c r="AS61" t="s">
        <x:v>927</x:v>
      </x:c>
      <x:c r="AT61" t="s">
        <x:v>73</x:v>
      </x:c>
      <x:c r="AU61" t="s">
        <x:v>923</x:v>
      </x:c>
      <x:c r="AV61" t="s">
        <x:v>76</x:v>
      </x:c>
      <x:c r="AW61" t="s">
        <x:v>76</x:v>
      </x:c>
      <x:c r="AX61" t="s">
        <x:v>928</x:v>
      </x:c>
      <x:c r="AY61" t="str">
        <x:f>IF(AND(ISNUMBER(SEARCH("Donovan",AC61)),OR(AT61=TRUE,AT61="TRUE"),OR(AQ61=FALSE,AQ61="FALSE")),"YES","NO")</x:f>
        <x:v>YES</x:v>
      </x:c>
      <x:c r="AZ61" t="str">
        <x:f>IF(AND(AY61="YES",LEFT(I61,2)="FF"),"YES","NO")</x:f>
        <x:v>NO</x:v>
      </x:c>
      <x:c r="BA61" t="str">
        <x:f>IF(AZ61&lt;&gt;"YES","Not FF focus",IF(N61&lt;=2,"0-2 Remote Window",IF(N61&lt;=5,"3-5 Client Follow-up",IF(N61=6,"Day 6 Escalate","7+ Overdue"))))</x:f>
        <x:v>Not FF focus</x:v>
      </x:c>
      <x:c r="BB61" t="str">
        <x:f>IF(AZ61&lt;&gt;"YES","Excluded",IF(N61&lt;=2,"On Track",IF(N61&lt;=5,"Warning",IF(N61=6,"Escalate Today","Overdue"))))</x:f>
        <x:v>Excluded</x:v>
      </x:c>
      <x:c r="BC61" t="str">
        <x:f>IF(AY61&lt;&gt;"YES","",IF(ISNUMBER(SEARCH("Quote Sent",P61)),"Follow up quote approval weekly + add JC comment",IF(ISNUMBER(SEARCH("Awaiting install",P61)),"Confirm install date/ETA + update JC",IF(ISNUMBER(SEARCH("Schedule",P61)),"Schedule/confirm tech action",IF(AZ61="YES",IF(N61&lt;=2,"Troubleshoot remotely + comment evidence",IF(N61&lt;=5,"Email/call client + record who/when/outcome","Escalate to Lindy + agree action plan")),"Check current status + add clear JC comment")))))</x:f>
        <x:v>Confirm install date/ETA + update JC</x:v>
      </x:c>
      <x:c r="BD61" t="str">
        <x:f>IF(AZ61="YES",6-N61,"")</x:f>
      </x:c>
      <x:c r="BE61" t="str">
        <x:f>IF(AY61="YES","Comment must show: date, contact person, method, outcome, next action","")</x:f>
        <x:v>Comment must show: date, contact person, method, outcome, next action</x:v>
      </x:c>
      <x:c r="BF61" t="str">
        <x:f>IF(AND(AY61="YES",O61&gt;=7),"Stuck in status 7+ days","")</x:f>
      </x:c>
    </x:row>
    <x:row r="62">
      <x:c r="A62" t="s">
        <x:v>109</x:v>
      </x:c>
      <x:c r="B62" t="s">
        <x:v>929</x:v>
      </x:c>
      <x:c r="C62" t="s">
        <x:v>930</x:v>
      </x:c>
      <x:c r="D62" t="s">
        <x:v>931</x:v>
      </x:c>
      <x:c r="E62" t="s">
        <x:v>54</x:v>
      </x:c>
      <x:c r="F62" t="s">
        <x:v>932</x:v>
      </x:c>
      <x:c r="G62" t="s">
        <x:v>933</x:v>
      </x:c>
      <x:c r="H62" t="s">
        <x:v>54</x:v>
      </x:c>
      <x:c r="I62" t="s">
        <x:v>142</x:v>
      </x:c>
      <x:c r="J62" t="s">
        <x:v>934</x:v>
      </x:c>
      <x:c r="K62" t="s">
        <x:v>54</x:v>
      </x:c>
      <x:c r="L62" t="s">
        <x:v>935</x:v>
      </x:c>
      <x:c r="M62" t="s">
        <x:v>936</x:v>
      </x:c>
      <x:c r="N62">
        <x:v>28</x:v>
      </x:c>
      <x:c r="O62">
        <x:v>7</x:v>
      </x:c>
      <x:c r="P62" t="s">
        <x:v>119</x:v>
      </x:c>
      <x:c r="Q62" t="s">
        <x:v>937</x:v>
      </x:c>
      <x:c r="R62" t="s">
        <x:v>54</x:v>
      </x:c>
      <x:c r="S62" t="s">
        <x:v>54</x:v>
      </x:c>
      <x:c r="T62" t="s">
        <x:v>54</x:v>
      </x:c>
      <x:c r="U62" t="s">
        <x:v>938</x:v>
      </x:c>
      <x:c r="V62" t="s">
        <x:v>54</x:v>
      </x:c>
      <x:c r="W62" t="s">
        <x:v>54</x:v>
      </x:c>
      <x:c r="X62" t="s">
        <x:v>54</x:v>
      </x:c>
      <x:c r="Y62" t="s">
        <x:v>54</x:v>
      </x:c>
      <x:c r="Z62" t="s">
        <x:v>54</x:v>
      </x:c>
      <x:c r="AA62" t="s">
        <x:v>54</x:v>
      </x:c>
      <x:c r="AB62" t="s">
        <x:v>939</x:v>
      </x:c>
      <x:c r="AC62" t="s">
        <x:v>940</x:v>
      </x:c>
      <x:c r="AD62" t="s">
        <x:v>54</x:v>
      </x:c>
      <x:c r="AE62" t="s">
        <x:v>54</x:v>
      </x:c>
      <x:c r="AF62" t="s">
        <x:v>54</x:v>
      </x:c>
      <x:c r="AG62" t="s">
        <x:v>54</x:v>
      </x:c>
      <x:c r="AH62" t="s">
        <x:v>54</x:v>
      </x:c>
      <x:c r="AI62" t="s">
        <x:v>54</x:v>
      </x:c>
      <x:c r="AJ62" t="s">
        <x:v>54</x:v>
      </x:c>
      <x:c r="AK62" t="s">
        <x:v>54</x:v>
      </x:c>
      <x:c r="AL62" t="s">
        <x:v>54</x:v>
      </x:c>
      <x:c r="AM62" t="s">
        <x:v>54</x:v>
      </x:c>
      <x:c r="AN62" t="s">
        <x:v>54</x:v>
      </x:c>
      <x:c r="AO62" t="s">
        <x:v>54</x:v>
      </x:c>
      <x:c r="AP62" t="s">
        <x:v>54</x:v>
      </x:c>
      <x:c r="AQ62" t="b">
        <x:v>0</x:v>
      </x:c>
      <x:c r="AR62" t="s">
        <x:v>941</x:v>
      </x:c>
      <x:c r="AS62" t="s">
        <x:v>54</x:v>
      </x:c>
      <x:c r="AT62" t="s">
        <x:v>73</x:v>
      </x:c>
      <x:c r="AU62" t="s">
        <x:v>942</x:v>
      </x:c>
      <x:c r="AV62" t="s">
        <x:v>88</x:v>
      </x:c>
      <x:c r="AW62" t="s">
        <x:v>195</x:v>
      </x:c>
      <x:c r="AX62" t="s">
        <x:v>943</x:v>
      </x:c>
      <x:c r="AY62" t="str">
        <x:f>IF(AND(ISNUMBER(SEARCH("Donovan",AC62)),OR(AT62=TRUE,AT62="TRUE"),OR(AQ62=FALSE,AQ62="FALSE")),"YES","NO")</x:f>
        <x:v>YES</x:v>
      </x:c>
      <x:c r="AZ62" t="str">
        <x:f>IF(AND(AY62="YES",LEFT(I62,2)="FF"),"YES","NO")</x:f>
        <x:v>NO</x:v>
      </x:c>
      <x:c r="BA62" t="str">
        <x:f>IF(AZ62&lt;&gt;"YES","Not FF focus",IF(N62&lt;=2,"0-2 Remote Window",IF(N62&lt;=5,"3-5 Client Follow-up",IF(N62=6,"Day 6 Escalate","7+ Overdue"))))</x:f>
        <x:v>Not FF focus</x:v>
      </x:c>
      <x:c r="BB62" t="str">
        <x:f>IF(AZ62&lt;&gt;"YES","Excluded",IF(N62&lt;=2,"On Track",IF(N62&lt;=5,"Warning",IF(N62=6,"Escalate Today","Overdue"))))</x:f>
        <x:v>Excluded</x:v>
      </x:c>
      <x:c r="BC62" t="str">
        <x:f>IF(AY62&lt;&gt;"YES","",IF(ISNUMBER(SEARCH("Quote Sent",P62)),"Follow up quote approval weekly + add JC comment",IF(ISNUMBER(SEARCH("Awaiting install",P62)),"Confirm install date/ETA + update JC",IF(ISNUMBER(SEARCH("Schedule",P62)),"Schedule/confirm tech action",IF(AZ62="YES",IF(N62&lt;=2,"Troubleshoot remotely + comment evidence",IF(N62&lt;=5,"Email/call client + record who/when/outcome","Escalate to Lindy + agree action plan")),"Check current status + add clear JC comment")))))</x:f>
        <x:v>Schedule/confirm tech action</x:v>
      </x:c>
      <x:c r="BD62" t="str">
        <x:f>IF(AZ62="YES",6-N62,"")</x:f>
      </x:c>
      <x:c r="BE62" t="str">
        <x:f>IF(AY62="YES","Comment must show: date, contact person, method, outcome, next action","")</x:f>
        <x:v>Comment must show: date, contact person, method, outcome, next action</x:v>
      </x:c>
      <x:c r="BF62" t="str">
        <x:f>IF(AND(AY62="YES",O62&gt;=7),"Stuck in status 7+ days","")</x:f>
        <x:v>Stuck in status 7+ days</x:v>
      </x:c>
    </x:row>
    <x:row r="63">
      <x:c r="A63" t="s">
        <x:v>109</x:v>
      </x:c>
      <x:c r="B63" t="s">
        <x:v>944</x:v>
      </x:c>
      <x:c r="C63" t="s">
        <x:v>945</x:v>
      </x:c>
      <x:c r="D63" t="s">
        <x:v>946</x:v>
      </x:c>
      <x:c r="E63" t="s">
        <x:v>54</x:v>
      </x:c>
      <x:c r="F63" t="s">
        <x:v>947</x:v>
      </x:c>
      <x:c r="G63" t="s">
        <x:v>948</x:v>
      </x:c>
      <x:c r="H63" t="s">
        <x:v>949</x:v>
      </x:c>
      <x:c r="I63" t="s">
        <x:v>115</x:v>
      </x:c>
      <x:c r="J63" t="s">
        <x:v>950</x:v>
      </x:c>
      <x:c r="K63" t="s">
        <x:v>54</x:v>
      </x:c>
      <x:c r="L63" t="s">
        <x:v>951</x:v>
      </x:c>
      <x:c r="M63" t="s">
        <x:v>952</x:v>
      </x:c>
      <x:c r="N63">
        <x:v>28</x:v>
      </x:c>
      <x:c r="O63">
        <x:v>7</x:v>
      </x:c>
      <x:c r="P63" t="s">
        <x:v>146</x:v>
      </x:c>
      <x:c r="Q63" t="s">
        <x:v>953</x:v>
      </x:c>
      <x:c r="R63" t="s">
        <x:v>54</x:v>
      </x:c>
      <x:c r="S63" t="s">
        <x:v>54</x:v>
      </x:c>
      <x:c r="T63" t="s">
        <x:v>54</x:v>
      </x:c>
      <x:c r="U63" t="s">
        <x:v>954</x:v>
      </x:c>
      <x:c r="V63" t="s">
        <x:v>54</x:v>
      </x:c>
      <x:c r="W63" t="s">
        <x:v>54</x:v>
      </x:c>
      <x:c r="X63" t="s">
        <x:v>54</x:v>
      </x:c>
      <x:c r="Y63" t="s">
        <x:v>54</x:v>
      </x:c>
      <x:c r="Z63" t="s">
        <x:v>54</x:v>
      </x:c>
      <x:c r="AA63" t="s">
        <x:v>54</x:v>
      </x:c>
      <x:c r="AB63" t="s">
        <x:v>54</x:v>
      </x:c>
      <x:c r="AC63" t="s">
        <x:v>955</x:v>
      </x:c>
      <x:c r="AD63" t="s">
        <x:v>54</x:v>
      </x:c>
      <x:c r="AE63" t="s">
        <x:v>54</x:v>
      </x:c>
      <x:c r="AF63" t="s">
        <x:v>54</x:v>
      </x:c>
      <x:c r="AG63" t="s">
        <x:v>54</x:v>
      </x:c>
      <x:c r="AH63" t="s">
        <x:v>54</x:v>
      </x:c>
      <x:c r="AI63" t="s">
        <x:v>54</x:v>
      </x:c>
      <x:c r="AJ63" t="s">
        <x:v>54</x:v>
      </x:c>
      <x:c r="AK63" t="s">
        <x:v>54</x:v>
      </x:c>
      <x:c r="AL63" t="s">
        <x:v>54</x:v>
      </x:c>
      <x:c r="AM63" t="s">
        <x:v>54</x:v>
      </x:c>
      <x:c r="AN63" t="s">
        <x:v>54</x:v>
      </x:c>
      <x:c r="AO63" t="s">
        <x:v>54</x:v>
      </x:c>
      <x:c r="AP63" t="s">
        <x:v>54</x:v>
      </x:c>
      <x:c r="AQ63" t="b">
        <x:v>0</x:v>
      </x:c>
      <x:c r="AR63" t="s">
        <x:v>956</x:v>
      </x:c>
      <x:c r="AS63" t="s">
        <x:v>54</x:v>
      </x:c>
      <x:c r="AT63" t="s">
        <x:v>73</x:v>
      </x:c>
      <x:c r="AU63" t="s">
        <x:v>952</x:v>
      </x:c>
      <x:c r="AV63" t="s">
        <x:v>734</x:v>
      </x:c>
      <x:c r="AW63" t="s">
        <x:v>155</x:v>
      </x:c>
      <x:c r="AX63" t="s">
        <x:v>957</x:v>
      </x:c>
      <x:c r="AY63" t="str">
        <x:f>IF(AND(ISNUMBER(SEARCH("Donovan",AC63)),OR(AT63=TRUE,AT63="TRUE"),OR(AQ63=FALSE,AQ63="FALSE")),"YES","NO")</x:f>
        <x:v>YES</x:v>
      </x:c>
      <x:c r="AZ63" t="str">
        <x:f>IF(AND(AY63="YES",LEFT(I63,2)="FF"),"YES","NO")</x:f>
        <x:v>NO</x:v>
      </x:c>
      <x:c r="BA63" t="str">
        <x:f>IF(AZ63&lt;&gt;"YES","Not FF focus",IF(N63&lt;=2,"0-2 Remote Window",IF(N63&lt;=5,"3-5 Client Follow-up",IF(N63=6,"Day 6 Escalate","7+ Overdue"))))</x:f>
        <x:v>Not FF focus</x:v>
      </x:c>
      <x:c r="BB63" t="str">
        <x:f>IF(AZ63&lt;&gt;"YES","Excluded",IF(N63&lt;=2,"On Track",IF(N63&lt;=5,"Warning",IF(N63=6,"Escalate Today","Overdue"))))</x:f>
        <x:v>Excluded</x:v>
      </x:c>
      <x:c r="BC63" t="str">
        <x:f>IF(AY63&lt;&gt;"YES","",IF(ISNUMBER(SEARCH("Quote Sent",P63)),"Follow up quote approval weekly + add JC comment",IF(ISNUMBER(SEARCH("Awaiting install",P63)),"Confirm install date/ETA + update JC",IF(ISNUMBER(SEARCH("Schedule",P63)),"Schedule/confirm tech action",IF(AZ63="YES",IF(N63&lt;=2,"Troubleshoot remotely + comment evidence",IF(N63&lt;=5,"Email/call client + record who/when/outcome","Escalate to Lindy + agree action plan")),"Check current status + add clear JC comment")))))</x:f>
        <x:v>Follow up quote approval weekly + add JC comment</x:v>
      </x:c>
      <x:c r="BD63" t="str">
        <x:f>IF(AZ63="YES",6-N63,"")</x:f>
      </x:c>
      <x:c r="BE63" t="str">
        <x:f>IF(AY63="YES","Comment must show: date, contact person, method, outcome, next action","")</x:f>
        <x:v>Comment must show: date, contact person, method, outcome, next action</x:v>
      </x:c>
      <x:c r="BF63" t="str">
        <x:f>IF(AND(AY63="YES",O63&gt;=7),"Stuck in status 7+ days","")</x:f>
        <x:v>Stuck in status 7+ days</x:v>
      </x:c>
    </x:row>
    <x:row r="64">
      <x:c r="A64" t="s">
        <x:v>109</x:v>
      </x:c>
      <x:c r="B64" t="s">
        <x:v>958</x:v>
      </x:c>
      <x:c r="C64" t="s">
        <x:v>959</x:v>
      </x:c>
      <x:c r="D64" t="s">
        <x:v>960</x:v>
      </x:c>
      <x:c r="E64" t="s">
        <x:v>54</x:v>
      </x:c>
      <x:c r="F64" t="s">
        <x:v>961</x:v>
      </x:c>
      <x:c r="G64" t="s">
        <x:v>962</x:v>
      </x:c>
      <x:c r="H64" t="s">
        <x:v>963</x:v>
      </x:c>
      <x:c r="I64" t="s">
        <x:v>522</x:v>
      </x:c>
      <x:c r="J64" t="s">
        <x:v>964</x:v>
      </x:c>
      <x:c r="K64" t="s">
        <x:v>54</x:v>
      </x:c>
      <x:c r="L64" t="s">
        <x:v>965</x:v>
      </x:c>
      <x:c r="M64" t="s">
        <x:v>966</x:v>
      </x:c>
      <x:c r="N64">
        <x:v>27</x:v>
      </x:c>
      <x:c r="O64">
        <x:v>27</x:v>
      </x:c>
      <x:c r="P64" t="s">
        <x:v>526</x:v>
      </x:c>
      <x:c r="Q64" t="s">
        <x:v>967</x:v>
      </x:c>
      <x:c r="R64" t="s">
        <x:v>54</x:v>
      </x:c>
      <x:c r="S64" t="s">
        <x:v>54</x:v>
      </x:c>
      <x:c r="T64" t="s">
        <x:v>54</x:v>
      </x:c>
      <x:c r="U64" t="s">
        <x:v>54</x:v>
      </x:c>
      <x:c r="V64" t="s">
        <x:v>54</x:v>
      </x:c>
      <x:c r="W64" t="s">
        <x:v>54</x:v>
      </x:c>
      <x:c r="X64" t="s">
        <x:v>54</x:v>
      </x:c>
      <x:c r="Y64" t="s">
        <x:v>968</x:v>
      </x:c>
      <x:c r="Z64" t="s">
        <x:v>969</x:v>
      </x:c>
      <x:c r="AA64" t="s">
        <x:v>970</x:v>
      </x:c>
      <x:c r="AB64" t="s">
        <x:v>54</x:v>
      </x:c>
      <x:c r="AC64" t="s">
        <x:v>68</x:v>
      </x:c>
      <x:c r="AD64" t="s">
        <x:v>54</x:v>
      </x:c>
      <x:c r="AE64" t="s">
        <x:v>54</x:v>
      </x:c>
      <x:c r="AF64" t="s">
        <x:v>54</x:v>
      </x:c>
      <x:c r="AG64" t="s">
        <x:v>418</x:v>
      </x:c>
      <x:c r="AH64" t="s">
        <x:v>54</x:v>
      </x:c>
      <x:c r="AI64" t="s">
        <x:v>54</x:v>
      </x:c>
      <x:c r="AJ64" t="s">
        <x:v>54</x:v>
      </x:c>
      <x:c r="AK64" t="s">
        <x:v>54</x:v>
      </x:c>
      <x:c r="AL64" t="s">
        <x:v>54</x:v>
      </x:c>
      <x:c r="AM64" t="s">
        <x:v>971</x:v>
      </x:c>
      <x:c r="AN64" t="s">
        <x:v>678</x:v>
      </x:c>
      <x:c r="AO64" t="s">
        <x:v>54</x:v>
      </x:c>
      <x:c r="AP64" t="s">
        <x:v>54</x:v>
      </x:c>
      <x:c r="AQ64" t="b">
        <x:v>0</x:v>
      </x:c>
      <x:c r="AR64" t="s">
        <x:v>533</x:v>
      </x:c>
      <x:c r="AS64" t="s">
        <x:v>54</x:v>
      </x:c>
      <x:c r="AT64" t="s">
        <x:v>73</x:v>
      </x:c>
      <x:c r="AU64" t="s">
        <x:v>972</x:v>
      </x:c>
      <x:c r="AV64" t="s">
        <x:v>75</x:v>
      </x:c>
      <x:c r="AW64" t="s">
        <x:v>88</x:v>
      </x:c>
      <x:c r="AX64" t="s">
        <x:v>967</x:v>
      </x:c>
      <x:c r="AY64" t="str">
        <x:f>IF(AND(ISNUMBER(SEARCH("Donovan",AC64)),OR(AT64=TRUE,AT64="TRUE"),OR(AQ64=FALSE,AQ64="FALSE")),"YES","NO")</x:f>
        <x:v>YES</x:v>
      </x:c>
      <x:c r="AZ64" t="str">
        <x:f>IF(AND(AY64="YES",LEFT(I64,2)="FF"),"YES","NO")</x:f>
        <x:v>YES</x:v>
      </x:c>
      <x:c r="BA64" t="str">
        <x:f>IF(AZ64&lt;&gt;"YES","Not FF focus",IF(N64&lt;=2,"0-2 Remote Window",IF(N64&lt;=5,"3-5 Client Follow-up",IF(N64=6,"Day 6 Escalate","7+ Overdue"))))</x:f>
        <x:v>7+ Overdue</x:v>
      </x:c>
      <x:c r="BB64" t="str">
        <x:f>IF(AZ64&lt;&gt;"YES","Excluded",IF(N64&lt;=2,"On Track",IF(N64&lt;=5,"Warning",IF(N64=6,"Escalate Today","Overdue"))))</x:f>
        <x:v>Overdue</x:v>
      </x:c>
      <x:c r="BC64" t="str">
        <x:f>IF(AY64&lt;&gt;"YES","",IF(ISNUMBER(SEARCH("Quote Sent",P64)),"Follow up quote approval weekly + add JC comment",IF(ISNUMBER(SEARCH("Awaiting install",P64)),"Confirm install date/ETA + update JC",IF(ISNUMBER(SEARCH("Schedule",P64)),"Schedule/confirm tech action",IF(AZ64="YES",IF(N64&lt;=2,"Troubleshoot remotely + comment evidence",IF(N64&lt;=5,"Email/call client + record who/when/outcome","Escalate to Lindy + agree action plan")),"Check current status + add clear JC comment")))))</x:f>
        <x:v>Escalate to Lindy + agree action plan</x:v>
      </x:c>
      <x:c r="BD64" t="n">
        <x:f>IF(AZ64="YES",6-N64,"")</x:f>
        <x:v>-21</x:v>
      </x:c>
      <x:c r="BE64" t="str">
        <x:f>IF(AY64="YES","Comment must show: date, contact person, method, outcome, next action","")</x:f>
        <x:v>Comment must show: date, contact person, method, outcome, next action</x:v>
      </x:c>
      <x:c r="BF64" t="str">
        <x:f>IF(AND(AY64="YES",O64&gt;=7),"Stuck in status 7+ days","")</x:f>
        <x:v>Stuck in status 7+ days</x:v>
      </x:c>
    </x:row>
    <x:row r="65">
      <x:c r="A65" t="s">
        <x:v>109</x:v>
      </x:c>
      <x:c r="B65" t="s">
        <x:v>973</x:v>
      </x:c>
      <x:c r="C65" t="s">
        <x:v>974</x:v>
      </x:c>
      <x:c r="D65" t="s">
        <x:v>975</x:v>
      </x:c>
      <x:c r="E65" t="s">
        <x:v>54</x:v>
      </x:c>
      <x:c r="F65" t="s">
        <x:v>976</x:v>
      </x:c>
      <x:c r="G65" t="s">
        <x:v>977</x:v>
      </x:c>
      <x:c r="H65" t="s">
        <x:v>978</x:v>
      </x:c>
      <x:c r="I65" t="s">
        <x:v>57</x:v>
      </x:c>
      <x:c r="J65" t="s">
        <x:v>979</x:v>
      </x:c>
      <x:c r="K65" t="s">
        <x:v>54</x:v>
      </x:c>
      <x:c r="L65" t="s">
        <x:v>980</x:v>
      </x:c>
      <x:c r="M65" t="s">
        <x:v>981</x:v>
      </x:c>
      <x:c r="N65">
        <x:v>27</x:v>
      </x:c>
      <x:c r="O65">
        <x:v>3</x:v>
      </x:c>
      <x:c r="P65" t="s">
        <x:v>61</x:v>
      </x:c>
      <x:c r="Q65" t="s">
        <x:v>982</x:v>
      </x:c>
      <x:c r="R65" t="s">
        <x:v>54</x:v>
      </x:c>
      <x:c r="S65" t="s">
        <x:v>54</x:v>
      </x:c>
      <x:c r="T65" t="s">
        <x:v>54</x:v>
      </x:c>
      <x:c r="U65" t="s">
        <x:v>983</x:v>
      </x:c>
      <x:c r="V65" t="s">
        <x:v>54</x:v>
      </x:c>
      <x:c r="W65" t="s">
        <x:v>54</x:v>
      </x:c>
      <x:c r="X65" t="s">
        <x:v>54</x:v>
      </x:c>
      <x:c r="Y65" t="s">
        <x:v>984</x:v>
      </x:c>
      <x:c r="Z65" t="s">
        <x:v>593</x:v>
      </x:c>
      <x:c r="AA65" t="s">
        <x:v>985</x:v>
      </x:c>
      <x:c r="AB65" t="s">
        <x:v>986</x:v>
      </x:c>
      <x:c r="AC65" t="s">
        <x:v>68</x:v>
      </x:c>
      <x:c r="AD65" t="s">
        <x:v>54</x:v>
      </x:c>
      <x:c r="AE65" t="s">
        <x:v>54</x:v>
      </x:c>
      <x:c r="AF65" t="s">
        <x:v>54</x:v>
      </x:c>
      <x:c r="AG65" t="s">
        <x:v>987</x:v>
      </x:c>
      <x:c r="AH65" t="s">
        <x:v>54</x:v>
      </x:c>
      <x:c r="AI65" t="s">
        <x:v>54</x:v>
      </x:c>
      <x:c r="AJ65" t="s">
        <x:v>54</x:v>
      </x:c>
      <x:c r="AK65" t="s">
        <x:v>54</x:v>
      </x:c>
      <x:c r="AL65" t="s">
        <x:v>54</x:v>
      </x:c>
      <x:c r="AM65" t="s">
        <x:v>971</x:v>
      </x:c>
      <x:c r="AN65" t="s">
        <x:v>718</x:v>
      </x:c>
      <x:c r="AO65" t="s">
        <x:v>54</x:v>
      </x:c>
      <x:c r="AP65" t="s">
        <x:v>54</x:v>
      </x:c>
      <x:c r="AQ65" t="b">
        <x:v>0</x:v>
      </x:c>
      <x:c r="AR65" t="s">
        <x:v>988</x:v>
      </x:c>
      <x:c r="AS65" t="s">
        <x:v>54</x:v>
      </x:c>
      <x:c r="AT65" t="s">
        <x:v>73</x:v>
      </x:c>
      <x:c r="AU65" t="s">
        <x:v>989</x:v>
      </x:c>
      <x:c r="AV65" t="s">
        <x:v>75</x:v>
      </x:c>
      <x:c r="AW65" t="s">
        <x:v>76</x:v>
      </x:c>
      <x:c r="AX65" t="s">
        <x:v>982</x:v>
      </x:c>
      <x:c r="AY65" t="str">
        <x:f>IF(AND(ISNUMBER(SEARCH("Donovan",AC65)),OR(AT65=TRUE,AT65="TRUE"),OR(AQ65=FALSE,AQ65="FALSE")),"YES","NO")</x:f>
        <x:v>YES</x:v>
      </x:c>
      <x:c r="AZ65" t="str">
        <x:f>IF(AND(AY65="YES",LEFT(I65,2)="FF"),"YES","NO")</x:f>
        <x:v>YES</x:v>
      </x:c>
      <x:c r="BA65" t="str">
        <x:f>IF(AZ65&lt;&gt;"YES","Not FF focus",IF(N65&lt;=2,"0-2 Remote Window",IF(N65&lt;=5,"3-5 Client Follow-up",IF(N65=6,"Day 6 Escalate","7+ Overdue"))))</x:f>
        <x:v>7+ Overdue</x:v>
      </x:c>
      <x:c r="BB65" t="str">
        <x:f>IF(AZ65&lt;&gt;"YES","Excluded",IF(N65&lt;=2,"On Track",IF(N65&lt;=5,"Warning",IF(N65=6,"Escalate Today","Overdue"))))</x:f>
        <x:v>Overdue</x:v>
      </x:c>
      <x:c r="BC65" t="str">
        <x:f>IF(AY65&lt;&gt;"YES","",IF(ISNUMBER(SEARCH("Quote Sent",P65)),"Follow up quote approval weekly + add JC comment",IF(ISNUMBER(SEARCH("Awaiting install",P65)),"Confirm install date/ETA + update JC",IF(ISNUMBER(SEARCH("Schedule",P65)),"Schedule/confirm tech action",IF(AZ65="YES",IF(N65&lt;=2,"Troubleshoot remotely + comment evidence",IF(N65&lt;=5,"Email/call client + record who/when/outcome","Escalate to Lindy + agree action plan")),"Check current status + add clear JC comment")))))</x:f>
        <x:v>Confirm install date/ETA + update JC</x:v>
      </x:c>
      <x:c r="BD65" t="n">
        <x:f>IF(AZ65="YES",6-N65,"")</x:f>
        <x:v>-21</x:v>
      </x:c>
      <x:c r="BE65" t="str">
        <x:f>IF(AY65="YES","Comment must show: date, contact person, method, outcome, next action","")</x:f>
        <x:v>Comment must show: date, contact person, method, outcome, next action</x:v>
      </x:c>
      <x:c r="BF65" t="str">
        <x:f>IF(AND(AY65="YES",O65&gt;=7),"Stuck in status 7+ days","")</x:f>
      </x:c>
    </x:row>
    <x:row r="66">
      <x:c r="A66" t="s">
        <x:v>109</x:v>
      </x:c>
      <x:c r="B66" t="s">
        <x:v>990</x:v>
      </x:c>
      <x:c r="C66" t="s">
        <x:v>761</x:v>
      </x:c>
      <x:c r="D66" t="s">
        <x:v>762</x:v>
      </x:c>
      <x:c r="E66" t="s">
        <x:v>54</x:v>
      </x:c>
      <x:c r="F66" t="s">
        <x:v>763</x:v>
      </x:c>
      <x:c r="G66" t="s">
        <x:v>764</x:v>
      </x:c>
      <x:c r="H66" t="s">
        <x:v>765</x:v>
      </x:c>
      <x:c r="I66" t="s">
        <x:v>57</x:v>
      </x:c>
      <x:c r="J66" t="s">
        <x:v>991</x:v>
      </x:c>
      <x:c r="K66" t="s">
        <x:v>54</x:v>
      </x:c>
      <x:c r="L66" t="s">
        <x:v>992</x:v>
      </x:c>
      <x:c r="M66" t="s">
        <x:v>993</x:v>
      </x:c>
      <x:c r="N66">
        <x:v>27</x:v>
      </x:c>
      <x:c r="O66">
        <x:v>16</x:v>
      </x:c>
      <x:c r="P66" t="s">
        <x:v>230</x:v>
      </x:c>
      <x:c r="Q66" t="s">
        <x:v>994</x:v>
      </x:c>
      <x:c r="R66" t="s">
        <x:v>54</x:v>
      </x:c>
      <x:c r="S66" t="s">
        <x:v>54</x:v>
      </x:c>
      <x:c r="T66" t="s">
        <x:v>54</x:v>
      </x:c>
      <x:c r="U66" t="s">
        <x:v>995</x:v>
      </x:c>
      <x:c r="V66" t="s">
        <x:v>54</x:v>
      </x:c>
      <x:c r="W66" t="s">
        <x:v>54</x:v>
      </x:c>
      <x:c r="X66" t="s">
        <x:v>54</x:v>
      </x:c>
      <x:c r="Y66" t="s">
        <x:v>996</x:v>
      </x:c>
      <x:c r="Z66" t="s">
        <x:v>997</x:v>
      </x:c>
      <x:c r="AA66" t="s">
        <x:v>998</x:v>
      </x:c>
      <x:c r="AB66" t="s">
        <x:v>54</x:v>
      </x:c>
      <x:c r="AC66" t="s">
        <x:v>166</x:v>
      </x:c>
      <x:c r="AD66" t="s">
        <x:v>54</x:v>
      </x:c>
      <x:c r="AE66" t="s">
        <x:v>54</x:v>
      </x:c>
      <x:c r="AF66" t="s">
        <x:v>54</x:v>
      </x:c>
      <x:c r="AG66" t="s">
        <x:v>105</x:v>
      </x:c>
      <x:c r="AH66" t="s">
        <x:v>54</x:v>
      </x:c>
      <x:c r="AI66" t="s">
        <x:v>54</x:v>
      </x:c>
      <x:c r="AJ66" t="s">
        <x:v>54</x:v>
      </x:c>
      <x:c r="AK66" t="s">
        <x:v>54</x:v>
      </x:c>
      <x:c r="AL66" t="s">
        <x:v>54</x:v>
      </x:c>
      <x:c r="AM66" t="s">
        <x:v>971</x:v>
      </x:c>
      <x:c r="AN66" t="s">
        <x:v>999</x:v>
      </x:c>
      <x:c r="AO66" t="s">
        <x:v>54</x:v>
      </x:c>
      <x:c r="AP66" t="s">
        <x:v>54</x:v>
      </x:c>
      <x:c r="AQ66" t="b">
        <x:v>0</x:v>
      </x:c>
      <x:c r="AR66" t="s">
        <x:v>1000</x:v>
      </x:c>
      <x:c r="AS66" t="s">
        <x:v>54</x:v>
      </x:c>
      <x:c r="AT66" t="s">
        <x:v>73</x:v>
      </x:c>
      <x:c r="AU66" t="s">
        <x:v>1001</x:v>
      </x:c>
      <x:c r="AV66" t="s">
        <x:v>75</x:v>
      </x:c>
      <x:c r="AW66" t="s">
        <x:v>155</x:v>
      </x:c>
      <x:c r="AX66" t="s">
        <x:v>994</x:v>
      </x:c>
      <x:c r="AY66" t="str">
        <x:f>IF(AND(ISNUMBER(SEARCH("Donovan",AC66)),OR(AT66=TRUE,AT66="TRUE"),OR(AQ66=FALSE,AQ66="FALSE")),"YES","NO")</x:f>
        <x:v>YES</x:v>
      </x:c>
      <x:c r="AZ66" t="str">
        <x:f>IF(AND(AY66="YES",LEFT(I66,2)="FF"),"YES","NO")</x:f>
        <x:v>YES</x:v>
      </x:c>
      <x:c r="BA66" t="str">
        <x:f>IF(AZ66&lt;&gt;"YES","Not FF focus",IF(N66&lt;=2,"0-2 Remote Window",IF(N66&lt;=5,"3-5 Client Follow-up",IF(N66=6,"Day 6 Escalate","7+ Overdue"))))</x:f>
        <x:v>7+ Overdue</x:v>
      </x:c>
      <x:c r="BB66" t="str">
        <x:f>IF(AZ66&lt;&gt;"YES","Excluded",IF(N66&lt;=2,"On Track",IF(N66&lt;=5,"Warning",IF(N66=6,"Escalate Today","Overdue"))))</x:f>
        <x:v>Overdue</x:v>
      </x:c>
      <x:c r="BC66" t="str">
        <x:f>IF(AY66&lt;&gt;"YES","",IF(ISNUMBER(SEARCH("Quote Sent",P66)),"Follow up quote approval weekly + add JC comment",IF(ISNUMBER(SEARCH("Awaiting install",P66)),"Confirm install date/ETA + update JC",IF(ISNUMBER(SEARCH("Schedule",P66)),"Schedule/confirm tech action",IF(AZ66="YES",IF(N66&lt;=2,"Troubleshoot remotely + comment evidence",IF(N66&lt;=5,"Email/call client + record who/when/outcome","Escalate to Lindy + agree action plan")),"Check current status + add clear JC comment")))))</x:f>
        <x:v>Follow up quote approval weekly + add JC comment</x:v>
      </x:c>
      <x:c r="BD66" t="n">
        <x:f>IF(AZ66="YES",6-N66,"")</x:f>
        <x:v>-21</x:v>
      </x:c>
      <x:c r="BE66" t="str">
        <x:f>IF(AY66="YES","Comment must show: date, contact person, method, outcome, next action","")</x:f>
        <x:v>Comment must show: date, contact person, method, outcome, next action</x:v>
      </x:c>
      <x:c r="BF66" t="str">
        <x:f>IF(AND(AY66="YES",O66&gt;=7),"Stuck in status 7+ days","")</x:f>
        <x:v>Stuck in status 7+ days</x:v>
      </x:c>
    </x:row>
    <x:row r="67">
      <x:c r="A67" t="s">
        <x:v>109</x:v>
      </x:c>
      <x:c r="B67" t="s">
        <x:v>1002</x:v>
      </x:c>
      <x:c r="C67" t="s">
        <x:v>1003</x:v>
      </x:c>
      <x:c r="D67" t="s">
        <x:v>1004</x:v>
      </x:c>
      <x:c r="E67" t="s">
        <x:v>54</x:v>
      </x:c>
      <x:c r="F67" t="s">
        <x:v>1005</x:v>
      </x:c>
      <x:c r="G67" t="s">
        <x:v>1006</x:v>
      </x:c>
      <x:c r="H67" t="s">
        <x:v>1007</x:v>
      </x:c>
      <x:c r="I67" t="s">
        <x:v>57</x:v>
      </x:c>
      <x:c r="J67" t="s">
        <x:v>1008</x:v>
      </x:c>
      <x:c r="K67" t="s">
        <x:v>54</x:v>
      </x:c>
      <x:c r="L67" t="s">
        <x:v>1009</x:v>
      </x:c>
      <x:c r="M67" t="s">
        <x:v>1010</x:v>
      </x:c>
      <x:c r="N67">
        <x:v>23</x:v>
      </x:c>
      <x:c r="O67">
        <x:v>14</x:v>
      </x:c>
      <x:c r="P67" t="s">
        <x:v>230</x:v>
      </x:c>
      <x:c r="Q67" t="s">
        <x:v>1011</x:v>
      </x:c>
      <x:c r="R67" t="s">
        <x:v>54</x:v>
      </x:c>
      <x:c r="S67" t="s">
        <x:v>54</x:v>
      </x:c>
      <x:c r="T67" t="s">
        <x:v>54</x:v>
      </x:c>
      <x:c r="U67" t="s">
        <x:v>1012</x:v>
      </x:c>
      <x:c r="V67" t="s">
        <x:v>54</x:v>
      </x:c>
      <x:c r="W67" t="s">
        <x:v>54</x:v>
      </x:c>
      <x:c r="X67" t="s">
        <x:v>54</x:v>
      </x:c>
      <x:c r="Y67" t="s">
        <x:v>1013</x:v>
      </x:c>
      <x:c r="Z67" t="s">
        <x:v>1014</x:v>
      </x:c>
      <x:c r="AA67" t="s">
        <x:v>1015</x:v>
      </x:c>
      <x:c r="AB67" t="s">
        <x:v>54</x:v>
      </x:c>
      <x:c r="AC67" t="s">
        <x:v>166</x:v>
      </x:c>
      <x:c r="AD67" t="s">
        <x:v>54</x:v>
      </x:c>
      <x:c r="AE67" t="s">
        <x:v>54</x:v>
      </x:c>
      <x:c r="AF67" t="s">
        <x:v>54</x:v>
      </x:c>
      <x:c r="AG67" t="s">
        <x:v>1016</x:v>
      </x:c>
      <x:c r="AH67" t="s">
        <x:v>54</x:v>
      </x:c>
      <x:c r="AI67" t="s">
        <x:v>54</x:v>
      </x:c>
      <x:c r="AJ67" t="s">
        <x:v>54</x:v>
      </x:c>
      <x:c r="AK67" t="s">
        <x:v>54</x:v>
      </x:c>
      <x:c r="AL67" t="s">
        <x:v>54</x:v>
      </x:c>
      <x:c r="AM67" t="s">
        <x:v>1017</x:v>
      </x:c>
      <x:c r="AN67" t="s">
        <x:v>1018</x:v>
      </x:c>
      <x:c r="AO67" t="s">
        <x:v>54</x:v>
      </x:c>
      <x:c r="AP67" t="s">
        <x:v>54</x:v>
      </x:c>
      <x:c r="AQ67" t="b">
        <x:v>0</x:v>
      </x:c>
      <x:c r="AR67" t="s">
        <x:v>1000</x:v>
      </x:c>
      <x:c r="AS67" t="s">
        <x:v>54</x:v>
      </x:c>
      <x:c r="AT67" t="s">
        <x:v>73</x:v>
      </x:c>
      <x:c r="AU67" t="s">
        <x:v>1019</x:v>
      </x:c>
      <x:c r="AV67" t="s">
        <x:v>481</x:v>
      </x:c>
      <x:c r="AW67" t="s">
        <x:v>155</x:v>
      </x:c>
      <x:c r="AX67" t="s">
        <x:v>1011</x:v>
      </x:c>
      <x:c r="AY67" t="str">
        <x:f>IF(AND(ISNUMBER(SEARCH("Donovan",AC67)),OR(AT67=TRUE,AT67="TRUE"),OR(AQ67=FALSE,AQ67="FALSE")),"YES","NO")</x:f>
        <x:v>YES</x:v>
      </x:c>
      <x:c r="AZ67" t="str">
        <x:f>IF(AND(AY67="YES",LEFT(I67,2)="FF"),"YES","NO")</x:f>
        <x:v>YES</x:v>
      </x:c>
      <x:c r="BA67" t="str">
        <x:f>IF(AZ67&lt;&gt;"YES","Not FF focus",IF(N67&lt;=2,"0-2 Remote Window",IF(N67&lt;=5,"3-5 Client Follow-up",IF(N67=6,"Day 6 Escalate","7+ Overdue"))))</x:f>
        <x:v>7+ Overdue</x:v>
      </x:c>
      <x:c r="BB67" t="str">
        <x:f>IF(AZ67&lt;&gt;"YES","Excluded",IF(N67&lt;=2,"On Track",IF(N67&lt;=5,"Warning",IF(N67=6,"Escalate Today","Overdue"))))</x:f>
        <x:v>Overdue</x:v>
      </x:c>
      <x:c r="BC67" t="str">
        <x:f>IF(AY67&lt;&gt;"YES","",IF(ISNUMBER(SEARCH("Quote Sent",P67)),"Follow up quote approval weekly + add JC comment",IF(ISNUMBER(SEARCH("Awaiting install",P67)),"Confirm install date/ETA + update JC",IF(ISNUMBER(SEARCH("Schedule",P67)),"Schedule/confirm tech action",IF(AZ67="YES",IF(N67&lt;=2,"Troubleshoot remotely + comment evidence",IF(N67&lt;=5,"Email/call client + record who/when/outcome","Escalate to Lindy + agree action plan")),"Check current status + add clear JC comment")))))</x:f>
        <x:v>Follow up quote approval weekly + add JC comment</x:v>
      </x:c>
      <x:c r="BD67" t="n">
        <x:f>IF(AZ67="YES",6-N67,"")</x:f>
        <x:v>-17</x:v>
      </x:c>
      <x:c r="BE67" t="str">
        <x:f>IF(AY67="YES","Comment must show: date, contact person, method, outcome, next action","")</x:f>
        <x:v>Comment must show: date, contact person, method, outcome, next action</x:v>
      </x:c>
      <x:c r="BF67" t="str">
        <x:f>IF(AND(AY67="YES",O67&gt;=7),"Stuck in status 7+ days","")</x:f>
        <x:v>Stuck in status 7+ days</x:v>
      </x:c>
    </x:row>
    <x:row r="68">
      <x:c r="A68" t="s">
        <x:v>109</x:v>
      </x:c>
      <x:c r="B68" t="s">
        <x:v>1020</x:v>
      </x:c>
      <x:c r="C68" t="s">
        <x:v>1021</x:v>
      </x:c>
      <x:c r="D68" t="s">
        <x:v>1022</x:v>
      </x:c>
      <x:c r="E68" t="s">
        <x:v>54</x:v>
      </x:c>
      <x:c r="F68" t="s">
        <x:v>1023</x:v>
      </x:c>
      <x:c r="G68" t="s">
        <x:v>1024</x:v>
      </x:c>
      <x:c r="H68" t="s">
        <x:v>1025</x:v>
      </x:c>
      <x:c r="I68" t="s">
        <x:v>522</x:v>
      </x:c>
      <x:c r="J68" t="s">
        <x:v>1026</x:v>
      </x:c>
      <x:c r="K68" t="s">
        <x:v>54</x:v>
      </x:c>
      <x:c r="L68" t="s">
        <x:v>1027</x:v>
      </x:c>
      <x:c r="M68" t="s">
        <x:v>1028</x:v>
      </x:c>
      <x:c r="N68">
        <x:v>22</x:v>
      </x:c>
      <x:c r="O68">
        <x:v>1</x:v>
      </x:c>
      <x:c r="P68" t="s">
        <x:v>608</x:v>
      </x:c>
      <x:c r="Q68" t="s">
        <x:v>1029</x:v>
      </x:c>
      <x:c r="R68" t="s">
        <x:v>54</x:v>
      </x:c>
      <x:c r="S68" t="s">
        <x:v>54</x:v>
      </x:c>
      <x:c r="T68" t="s">
        <x:v>54</x:v>
      </x:c>
      <x:c r="U68" t="s">
        <x:v>1030</x:v>
      </x:c>
      <x:c r="V68" t="s">
        <x:v>54</x:v>
      </x:c>
      <x:c r="W68" t="s">
        <x:v>54</x:v>
      </x:c>
      <x:c r="X68" t="s">
        <x:v>54</x:v>
      </x:c>
      <x:c r="Y68" t="s">
        <x:v>1031</x:v>
      </x:c>
      <x:c r="Z68" t="s">
        <x:v>1032</x:v>
      </x:c>
      <x:c r="AA68" t="s">
        <x:v>1033</x:v>
      </x:c>
      <x:c r="AB68" t="s">
        <x:v>54</x:v>
      </x:c>
      <x:c r="AC68" t="s">
        <x:v>1034</x:v>
      </x:c>
      <x:c r="AD68" t="s">
        <x:v>54</x:v>
      </x:c>
      <x:c r="AE68" t="s">
        <x:v>54</x:v>
      </x:c>
      <x:c r="AF68" t="s">
        <x:v>54</x:v>
      </x:c>
      <x:c r="AG68" t="s">
        <x:v>1035</x:v>
      </x:c>
      <x:c r="AH68" t="s">
        <x:v>54</x:v>
      </x:c>
      <x:c r="AI68" t="s">
        <x:v>54</x:v>
      </x:c>
      <x:c r="AJ68" t="s">
        <x:v>54</x:v>
      </x:c>
      <x:c r="AK68" t="s">
        <x:v>54</x:v>
      </x:c>
      <x:c r="AL68" t="s">
        <x:v>54</x:v>
      </x:c>
      <x:c r="AM68" t="s">
        <x:v>1036</x:v>
      </x:c>
      <x:c r="AN68" t="s">
        <x:v>1037</x:v>
      </x:c>
      <x:c r="AO68" t="s">
        <x:v>54</x:v>
      </x:c>
      <x:c r="AP68" t="s">
        <x:v>54</x:v>
      </x:c>
      <x:c r="AQ68" t="b">
        <x:v>0</x:v>
      </x:c>
      <x:c r="AR68" t="s">
        <x:v>1038</x:v>
      </x:c>
      <x:c r="AS68" t="s">
        <x:v>54</x:v>
      </x:c>
      <x:c r="AT68" t="s">
        <x:v>73</x:v>
      </x:c>
      <x:c r="AU68" t="s">
        <x:v>1039</x:v>
      </x:c>
      <x:c r="AV68" t="s">
        <x:v>481</x:v>
      </x:c>
      <x:c r="AW68" t="s">
        <x:v>155</x:v>
      </x:c>
      <x:c r="AX68" t="s">
        <x:v>1040</x:v>
      </x:c>
      <x:c r="AY68" t="str">
        <x:f>IF(AND(ISNUMBER(SEARCH("Donovan",AC68)),OR(AT68=TRUE,AT68="TRUE"),OR(AQ68=FALSE,AQ68="FALSE")),"YES","NO")</x:f>
        <x:v>YES</x:v>
      </x:c>
      <x:c r="AZ68" t="str">
        <x:f>IF(AND(AY68="YES",LEFT(I68,2)="FF"),"YES","NO")</x:f>
        <x:v>YES</x:v>
      </x:c>
      <x:c r="BA68" t="str">
        <x:f>IF(AZ68&lt;&gt;"YES","Not FF focus",IF(N68&lt;=2,"0-2 Remote Window",IF(N68&lt;=5,"3-5 Client Follow-up",IF(N68=6,"Day 6 Escalate","7+ Overdue"))))</x:f>
        <x:v>7+ Overdue</x:v>
      </x:c>
      <x:c r="BB68" t="str">
        <x:f>IF(AZ68&lt;&gt;"YES","Excluded",IF(N68&lt;=2,"On Track",IF(N68&lt;=5,"Warning",IF(N68=6,"Escalate Today","Overdue"))))</x:f>
        <x:v>Overdue</x:v>
      </x:c>
      <x:c r="BC68" t="str">
        <x:f>IF(AY68&lt;&gt;"YES","",IF(ISNUMBER(SEARCH("Quote Sent",P68)),"Follow up quote approval weekly + add JC comment",IF(ISNUMBER(SEARCH("Awaiting install",P68)),"Confirm install date/ETA + update JC",IF(ISNUMBER(SEARCH("Schedule",P68)),"Schedule/confirm tech action",IF(AZ68="YES",IF(N68&lt;=2,"Troubleshoot remotely + comment evidence",IF(N68&lt;=5,"Email/call client + record who/when/outcome","Escalate to Lindy + agree action plan")),"Check current status + add clear JC comment")))))</x:f>
        <x:v>Escalate to Lindy + agree action plan</x:v>
      </x:c>
      <x:c r="BD68" t="n">
        <x:f>IF(AZ68="YES",6-N68,"")</x:f>
        <x:v>-16</x:v>
      </x:c>
      <x:c r="BE68" t="str">
        <x:f>IF(AY68="YES","Comment must show: date, contact person, method, outcome, next action","")</x:f>
        <x:v>Comment must show: date, contact person, method, outcome, next action</x:v>
      </x:c>
      <x:c r="BF68" t="str">
        <x:f>IF(AND(AY68="YES",O68&gt;=7),"Stuck in status 7+ days","")</x:f>
      </x:c>
    </x:row>
    <x:row r="69">
      <x:c r="A69" t="s">
        <x:v>109</x:v>
      </x:c>
      <x:c r="B69" t="s">
        <x:v>1041</x:v>
      </x:c>
      <x:c r="C69" t="s">
        <x:v>1042</x:v>
      </x:c>
      <x:c r="D69" t="s">
        <x:v>1043</x:v>
      </x:c>
      <x:c r="E69" t="s">
        <x:v>54</x:v>
      </x:c>
      <x:c r="F69" t="s">
        <x:v>1044</x:v>
      </x:c>
      <x:c r="G69" t="s">
        <x:v>1045</x:v>
      </x:c>
      <x:c r="H69" t="s">
        <x:v>1046</x:v>
      </x:c>
      <x:c r="I69" t="s">
        <x:v>142</x:v>
      </x:c>
      <x:c r="J69" t="s">
        <x:v>1047</x:v>
      </x:c>
      <x:c r="K69" t="s">
        <x:v>54</x:v>
      </x:c>
      <x:c r="L69" t="s">
        <x:v>1048</x:v>
      </x:c>
      <x:c r="M69" t="s">
        <x:v>1049</x:v>
      </x:c>
      <x:c r="N69">
        <x:v>17</x:v>
      </x:c>
      <x:c r="O69">
        <x:v>16</x:v>
      </x:c>
      <x:c r="P69" t="s">
        <x:v>146</x:v>
      </x:c>
      <x:c r="Q69" t="s">
        <x:v>1050</x:v>
      </x:c>
      <x:c r="R69" t="s">
        <x:v>54</x:v>
      </x:c>
      <x:c r="S69" t="s">
        <x:v>54</x:v>
      </x:c>
      <x:c r="T69" t="s">
        <x:v>54</x:v>
      </x:c>
      <x:c r="U69" t="s">
        <x:v>1051</x:v>
      </x:c>
      <x:c r="V69" t="s">
        <x:v>54</x:v>
      </x:c>
      <x:c r="W69" t="s">
        <x:v>54</x:v>
      </x:c>
      <x:c r="X69" t="s">
        <x:v>54</x:v>
      </x:c>
      <x:c r="Y69" t="s">
        <x:v>54</x:v>
      </x:c>
      <x:c r="Z69" t="s">
        <x:v>54</x:v>
      </x:c>
      <x:c r="AA69" t="s">
        <x:v>54</x:v>
      </x:c>
      <x:c r="AB69" t="s">
        <x:v>54</x:v>
      </x:c>
      <x:c r="AC69" t="s">
        <x:v>1052</x:v>
      </x:c>
      <x:c r="AD69" t="s">
        <x:v>54</x:v>
      </x:c>
      <x:c r="AE69" t="s">
        <x:v>54</x:v>
      </x:c>
      <x:c r="AF69" t="s">
        <x:v>54</x:v>
      </x:c>
      <x:c r="AG69" t="s">
        <x:v>54</x:v>
      </x:c>
      <x:c r="AH69" t="s">
        <x:v>54</x:v>
      </x:c>
      <x:c r="AI69" t="s">
        <x:v>54</x:v>
      </x:c>
      <x:c r="AJ69" t="s">
        <x:v>54</x:v>
      </x:c>
      <x:c r="AK69" t="s">
        <x:v>54</x:v>
      </x:c>
      <x:c r="AL69" t="s">
        <x:v>54</x:v>
      </x:c>
      <x:c r="AM69" t="s">
        <x:v>54</x:v>
      </x:c>
      <x:c r="AN69" t="s">
        <x:v>54</x:v>
      </x:c>
      <x:c r="AO69" t="s">
        <x:v>54</x:v>
      </x:c>
      <x:c r="AP69" t="s">
        <x:v>54</x:v>
      </x:c>
      <x:c r="AQ69" t="b">
        <x:v>0</x:v>
      </x:c>
      <x:c r="AR69" t="s">
        <x:v>1053</x:v>
      </x:c>
      <x:c r="AS69" t="s">
        <x:v>54</x:v>
      </x:c>
      <x:c r="AT69" t="s">
        <x:v>73</x:v>
      </x:c>
      <x:c r="AU69" t="s">
        <x:v>1049</x:v>
      </x:c>
      <x:c r="AV69" t="s">
        <x:v>88</x:v>
      </x:c>
      <x:c r="AW69" t="s">
        <x:v>155</x:v>
      </x:c>
      <x:c r="AX69" t="s">
        <x:v>1050</x:v>
      </x:c>
      <x:c r="AY69" t="str">
        <x:f>IF(AND(ISNUMBER(SEARCH("Donovan",AC69)),OR(AT69=TRUE,AT69="TRUE"),OR(AQ69=FALSE,AQ69="FALSE")),"YES","NO")</x:f>
        <x:v>YES</x:v>
      </x:c>
      <x:c r="AZ69" t="str">
        <x:f>IF(AND(AY69="YES",LEFT(I69,2)="FF"),"YES","NO")</x:f>
        <x:v>NO</x:v>
      </x:c>
      <x:c r="BA69" t="str">
        <x:f>IF(AZ69&lt;&gt;"YES","Not FF focus",IF(N69&lt;=2,"0-2 Remote Window",IF(N69&lt;=5,"3-5 Client Follow-up",IF(N69=6,"Day 6 Escalate","7+ Overdue"))))</x:f>
        <x:v>Not FF focus</x:v>
      </x:c>
      <x:c r="BB69" t="str">
        <x:f>IF(AZ69&lt;&gt;"YES","Excluded",IF(N69&lt;=2,"On Track",IF(N69&lt;=5,"Warning",IF(N69=6,"Escalate Today","Overdue"))))</x:f>
        <x:v>Excluded</x:v>
      </x:c>
      <x:c r="BC69" t="str">
        <x:f>IF(AY69&lt;&gt;"YES","",IF(ISNUMBER(SEARCH("Quote Sent",P69)),"Follow up quote approval weekly + add JC comment",IF(ISNUMBER(SEARCH("Awaiting install",P69)),"Confirm install date/ETA + update JC",IF(ISNUMBER(SEARCH("Schedule",P69)),"Schedule/confirm tech action",IF(AZ69="YES",IF(N69&lt;=2,"Troubleshoot remotely + comment evidence",IF(N69&lt;=5,"Email/call client + record who/when/outcome","Escalate to Lindy + agree action plan")),"Check current status + add clear JC comment")))))</x:f>
        <x:v>Follow up quote approval weekly + add JC comment</x:v>
      </x:c>
      <x:c r="BD69" t="str">
        <x:f>IF(AZ69="YES",6-N69,"")</x:f>
      </x:c>
      <x:c r="BE69" t="str">
        <x:f>IF(AY69="YES","Comment must show: date, contact person, method, outcome, next action","")</x:f>
        <x:v>Comment must show: date, contact person, method, outcome, next action</x:v>
      </x:c>
      <x:c r="BF69" t="str">
        <x:f>IF(AND(AY69="YES",O69&gt;=7),"Stuck in status 7+ days","")</x:f>
        <x:v>Stuck in status 7+ days</x:v>
      </x:c>
    </x:row>
    <x:row r="70">
      <x:c r="A70" t="s">
        <x:v>109</x:v>
      </x:c>
      <x:c r="B70" t="s">
        <x:v>1054</x:v>
      </x:c>
      <x:c r="C70" t="s">
        <x:v>1055</x:v>
      </x:c>
      <x:c r="D70" t="s">
        <x:v>1056</x:v>
      </x:c>
      <x:c r="E70" t="s">
        <x:v>54</x:v>
      </x:c>
      <x:c r="F70" t="s">
        <x:v>1057</x:v>
      </x:c>
      <x:c r="G70" t="s">
        <x:v>1058</x:v>
      </x:c>
      <x:c r="H70" t="s">
        <x:v>54</x:v>
      </x:c>
      <x:c r="I70" t="s">
        <x:v>57</x:v>
      </x:c>
      <x:c r="J70" t="s">
        <x:v>1059</x:v>
      </x:c>
      <x:c r="K70" t="s">
        <x:v>54</x:v>
      </x:c>
      <x:c r="L70" t="s">
        <x:v>1060</x:v>
      </x:c>
      <x:c r="M70" t="s">
        <x:v>1061</x:v>
      </x:c>
      <x:c r="N70">
        <x:v>17</x:v>
      </x:c>
      <x:c r="O70">
        <x:v>0</x:v>
      </x:c>
      <x:c r="P70" t="s">
        <x:v>230</x:v>
      </x:c>
      <x:c r="Q70" t="s">
        <x:v>1062</x:v>
      </x:c>
      <x:c r="R70" t="s">
        <x:v>54</x:v>
      </x:c>
      <x:c r="S70" t="s">
        <x:v>54</x:v>
      </x:c>
      <x:c r="T70" t="s">
        <x:v>54</x:v>
      </x:c>
      <x:c r="U70" t="s">
        <x:v>1063</x:v>
      </x:c>
      <x:c r="V70" t="s">
        <x:v>54</x:v>
      </x:c>
      <x:c r="W70" t="s">
        <x:v>54</x:v>
      </x:c>
      <x:c r="X70" t="s">
        <x:v>54</x:v>
      </x:c>
      <x:c r="Y70" t="s">
        <x:v>1064</x:v>
      </x:c>
      <x:c r="Z70" t="s">
        <x:v>657</x:v>
      </x:c>
      <x:c r="AA70" t="s">
        <x:v>1065</x:v>
      </x:c>
      <x:c r="AB70" t="s">
        <x:v>54</x:v>
      </x:c>
      <x:c r="AC70" t="s">
        <x:v>1052</x:v>
      </x:c>
      <x:c r="AD70" t="s">
        <x:v>54</x:v>
      </x:c>
      <x:c r="AE70" t="s">
        <x:v>54</x:v>
      </x:c>
      <x:c r="AF70" t="s">
        <x:v>54</x:v>
      </x:c>
      <x:c r="AG70" t="s">
        <x:v>1066</x:v>
      </x:c>
      <x:c r="AH70" t="s">
        <x:v>54</x:v>
      </x:c>
      <x:c r="AI70" t="s">
        <x:v>54</x:v>
      </x:c>
      <x:c r="AJ70" t="s">
        <x:v>54</x:v>
      </x:c>
      <x:c r="AK70" t="s">
        <x:v>54</x:v>
      </x:c>
      <x:c r="AL70" t="s">
        <x:v>54</x:v>
      </x:c>
      <x:c r="AM70" t="s">
        <x:v>1067</x:v>
      </x:c>
      <x:c r="AN70" t="s">
        <x:v>889</x:v>
      </x:c>
      <x:c r="AO70" t="s">
        <x:v>54</x:v>
      </x:c>
      <x:c r="AP70" t="s">
        <x:v>54</x:v>
      </x:c>
      <x:c r="AQ70" t="b">
        <x:v>0</x:v>
      </x:c>
      <x:c r="AR70" t="s">
        <x:v>1000</x:v>
      </x:c>
      <x:c r="AS70" t="s">
        <x:v>54</x:v>
      </x:c>
      <x:c r="AT70" t="s">
        <x:v>73</x:v>
      </x:c>
      <x:c r="AU70" t="s">
        <x:v>1061</x:v>
      </x:c>
      <x:c r="AV70" t="s">
        <x:v>75</x:v>
      </x:c>
      <x:c r="AW70" t="s">
        <x:v>155</x:v>
      </x:c>
      <x:c r="AX70" t="s">
        <x:v>1062</x:v>
      </x:c>
      <x:c r="AY70" t="str">
        <x:f>IF(AND(ISNUMBER(SEARCH("Donovan",AC70)),OR(AT70=TRUE,AT70="TRUE"),OR(AQ70=FALSE,AQ70="FALSE")),"YES","NO")</x:f>
        <x:v>YES</x:v>
      </x:c>
      <x:c r="AZ70" t="str">
        <x:f>IF(AND(AY70="YES",LEFT(I70,2)="FF"),"YES","NO")</x:f>
        <x:v>YES</x:v>
      </x:c>
      <x:c r="BA70" t="str">
        <x:f>IF(AZ70&lt;&gt;"YES","Not FF focus",IF(N70&lt;=2,"0-2 Remote Window",IF(N70&lt;=5,"3-5 Client Follow-up",IF(N70=6,"Day 6 Escalate","7+ Overdue"))))</x:f>
        <x:v>7+ Overdue</x:v>
      </x:c>
      <x:c r="BB70" t="str">
        <x:f>IF(AZ70&lt;&gt;"YES","Excluded",IF(N70&lt;=2,"On Track",IF(N70&lt;=5,"Warning",IF(N70=6,"Escalate Today","Overdue"))))</x:f>
        <x:v>Overdue</x:v>
      </x:c>
      <x:c r="BC70" t="str">
        <x:f>IF(AY70&lt;&gt;"YES","",IF(ISNUMBER(SEARCH("Quote Sent",P70)),"Follow up quote approval weekly + add JC comment",IF(ISNUMBER(SEARCH("Awaiting install",P70)),"Confirm install date/ETA + update JC",IF(ISNUMBER(SEARCH("Schedule",P70)),"Schedule/confirm tech action",IF(AZ70="YES",IF(N70&lt;=2,"Troubleshoot remotely + comment evidence",IF(N70&lt;=5,"Email/call client + record who/when/outcome","Escalate to Lindy + agree action plan")),"Check current status + add clear JC comment")))))</x:f>
        <x:v>Follow up quote approval weekly + add JC comment</x:v>
      </x:c>
      <x:c r="BD70" t="n">
        <x:f>IF(AZ70="YES",6-N70,"")</x:f>
        <x:v>-11</x:v>
      </x:c>
      <x:c r="BE70" t="str">
        <x:f>IF(AY70="YES","Comment must show: date, contact person, method, outcome, next action","")</x:f>
        <x:v>Comment must show: date, contact person, method, outcome, next action</x:v>
      </x:c>
      <x:c r="BF70" t="str">
        <x:f>IF(AND(AY70="YES",O70&gt;=7),"Stuck in status 7+ days","")</x:f>
      </x:c>
    </x:row>
    <x:row r="71">
      <x:c r="A71" t="s">
        <x:v>109</x:v>
      </x:c>
      <x:c r="B71" t="s">
        <x:v>1068</x:v>
      </x:c>
      <x:c r="C71" t="s">
        <x:v>1069</x:v>
      </x:c>
      <x:c r="D71" t="s">
        <x:v>1070</x:v>
      </x:c>
      <x:c r="E71" t="s">
        <x:v>54</x:v>
      </x:c>
      <x:c r="F71" t="s">
        <x:v>427</x:v>
      </x:c>
      <x:c r="G71" t="s">
        <x:v>428</x:v>
      </x:c>
      <x:c r="H71" t="s">
        <x:v>1071</x:v>
      </x:c>
      <x:c r="I71" t="s">
        <x:v>57</x:v>
      </x:c>
      <x:c r="J71" t="s">
        <x:v>1072</x:v>
      </x:c>
      <x:c r="K71" t="s">
        <x:v>54</x:v>
      </x:c>
      <x:c r="L71" t="s">
        <x:v>1073</x:v>
      </x:c>
      <x:c r="M71" t="s">
        <x:v>1074</x:v>
      </x:c>
      <x:c r="N71">
        <x:v>17</x:v>
      </x:c>
      <x:c r="O71">
        <x:v>7</x:v>
      </x:c>
      <x:c r="P71" t="s">
        <x:v>61</x:v>
      </x:c>
      <x:c r="Q71" t="s">
        <x:v>1075</x:v>
      </x:c>
      <x:c r="R71" t="s">
        <x:v>54</x:v>
      </x:c>
      <x:c r="S71" t="s">
        <x:v>54</x:v>
      </x:c>
      <x:c r="T71" t="s">
        <x:v>54</x:v>
      </x:c>
      <x:c r="U71" t="s">
        <x:v>1076</x:v>
      </x:c>
      <x:c r="V71" t="s">
        <x:v>54</x:v>
      </x:c>
      <x:c r="W71" t="s">
        <x:v>54</x:v>
      </x:c>
      <x:c r="X71" t="s">
        <x:v>54</x:v>
      </x:c>
      <x:c r="Y71" t="s">
        <x:v>1077</x:v>
      </x:c>
      <x:c r="Z71" t="s">
        <x:v>1078</x:v>
      </x:c>
      <x:c r="AA71" t="s">
        <x:v>1079</x:v>
      </x:c>
      <x:c r="AB71" t="s">
        <x:v>85</x:v>
      </x:c>
      <x:c r="AC71" t="s">
        <x:v>166</x:v>
      </x:c>
      <x:c r="AD71" t="s">
        <x:v>54</x:v>
      </x:c>
      <x:c r="AE71" t="s">
        <x:v>54</x:v>
      </x:c>
      <x:c r="AF71" t="s">
        <x:v>54</x:v>
      </x:c>
      <x:c r="AG71" t="s">
        <x:v>1080</x:v>
      </x:c>
      <x:c r="AH71" t="s">
        <x:v>54</x:v>
      </x:c>
      <x:c r="AI71" t="s">
        <x:v>54</x:v>
      </x:c>
      <x:c r="AJ71" t="s">
        <x:v>54</x:v>
      </x:c>
      <x:c r="AK71" t="s">
        <x:v>54</x:v>
      </x:c>
      <x:c r="AL71" t="s">
        <x:v>54</x:v>
      </x:c>
      <x:c r="AM71" t="s">
        <x:v>852</x:v>
      </x:c>
      <x:c r="AN71" t="s">
        <x:v>1081</x:v>
      </x:c>
      <x:c r="AO71" t="s">
        <x:v>54</x:v>
      </x:c>
      <x:c r="AP71" t="s">
        <x:v>54</x:v>
      </x:c>
      <x:c r="AQ71" t="b">
        <x:v>0</x:v>
      </x:c>
      <x:c r="AR71" t="s">
        <x:v>988</x:v>
      </x:c>
      <x:c r="AS71" t="s">
        <x:v>54</x:v>
      </x:c>
      <x:c r="AT71" t="s">
        <x:v>73</x:v>
      </x:c>
      <x:c r="AU71" t="s">
        <x:v>1074</x:v>
      </x:c>
      <x:c r="AV71" t="s">
        <x:v>75</x:v>
      </x:c>
      <x:c r="AW71" t="s">
        <x:v>76</x:v>
      </x:c>
      <x:c r="AX71" t="s">
        <x:v>1075</x:v>
      </x:c>
      <x:c r="AY71" t="str">
        <x:f>IF(AND(ISNUMBER(SEARCH("Donovan",AC71)),OR(AT71=TRUE,AT71="TRUE"),OR(AQ71=FALSE,AQ71="FALSE")),"YES","NO")</x:f>
        <x:v>YES</x:v>
      </x:c>
      <x:c r="AZ71" t="str">
        <x:f>IF(AND(AY71="YES",LEFT(I71,2)="FF"),"YES","NO")</x:f>
        <x:v>YES</x:v>
      </x:c>
      <x:c r="BA71" t="str">
        <x:f>IF(AZ71&lt;&gt;"YES","Not FF focus",IF(N71&lt;=2,"0-2 Remote Window",IF(N71&lt;=5,"3-5 Client Follow-up",IF(N71=6,"Day 6 Escalate","7+ Overdue"))))</x:f>
        <x:v>7+ Overdue</x:v>
      </x:c>
      <x:c r="BB71" t="str">
        <x:f>IF(AZ71&lt;&gt;"YES","Excluded",IF(N71&lt;=2,"On Track",IF(N71&lt;=5,"Warning",IF(N71=6,"Escalate Today","Overdue"))))</x:f>
        <x:v>Overdue</x:v>
      </x:c>
      <x:c r="BC71" t="str">
        <x:f>IF(AY71&lt;&gt;"YES","",IF(ISNUMBER(SEARCH("Quote Sent",P71)),"Follow up quote approval weekly + add JC comment",IF(ISNUMBER(SEARCH("Awaiting install",P71)),"Confirm install date/ETA + update JC",IF(ISNUMBER(SEARCH("Schedule",P71)),"Schedule/confirm tech action",IF(AZ71="YES",IF(N71&lt;=2,"Troubleshoot remotely + comment evidence",IF(N71&lt;=5,"Email/call client + record who/when/outcome","Escalate to Lindy + agree action plan")),"Check current status + add clear JC comment")))))</x:f>
        <x:v>Confirm install date/ETA + update JC</x:v>
      </x:c>
      <x:c r="BD71" t="n">
        <x:f>IF(AZ71="YES",6-N71,"")</x:f>
        <x:v>-11</x:v>
      </x:c>
      <x:c r="BE71" t="str">
        <x:f>IF(AY71="YES","Comment must show: date, contact person, method, outcome, next action","")</x:f>
        <x:v>Comment must show: date, contact person, method, outcome, next action</x:v>
      </x:c>
      <x:c r="BF71" t="str">
        <x:f>IF(AND(AY71="YES",O71&gt;=7),"Stuck in status 7+ days","")</x:f>
        <x:v>Stuck in status 7+ days</x:v>
      </x:c>
    </x:row>
    <x:row r="72">
      <x:c r="A72" t="s">
        <x:v>109</x:v>
      </x:c>
      <x:c r="B72" t="s">
        <x:v>1082</x:v>
      </x:c>
      <x:c r="C72" t="s">
        <x:v>1083</x:v>
      </x:c>
      <x:c r="D72" t="s">
        <x:v>1084</x:v>
      </x:c>
      <x:c r="E72" t="s">
        <x:v>54</x:v>
      </x:c>
      <x:c r="F72" t="s">
        <x:v>427</x:v>
      </x:c>
      <x:c r="G72" t="s">
        <x:v>428</x:v>
      </x:c>
      <x:c r="H72" t="s">
        <x:v>54</x:v>
      </x:c>
      <x:c r="I72" t="s">
        <x:v>522</x:v>
      </x:c>
      <x:c r="J72" t="s">
        <x:v>1085</x:v>
      </x:c>
      <x:c r="K72" t="s">
        <x:v>54</x:v>
      </x:c>
      <x:c r="L72" t="s">
        <x:v>1086</x:v>
      </x:c>
      <x:c r="M72" t="s">
        <x:v>1087</x:v>
      </x:c>
      <x:c r="N72">
        <x:v>17</x:v>
      </x:c>
      <x:c r="O72">
        <x:v>15</x:v>
      </x:c>
      <x:c r="P72" t="s">
        <x:v>526</x:v>
      </x:c>
      <x:c r="Q72" t="s">
        <x:v>1088</x:v>
      </x:c>
      <x:c r="R72" t="s">
        <x:v>54</x:v>
      </x:c>
      <x:c r="S72" t="s">
        <x:v>54</x:v>
      </x:c>
      <x:c r="T72" t="s">
        <x:v>54</x:v>
      </x:c>
      <x:c r="U72" t="s">
        <x:v>54</x:v>
      </x:c>
      <x:c r="V72" t="s">
        <x:v>54</x:v>
      </x:c>
      <x:c r="W72" t="s">
        <x:v>54</x:v>
      </x:c>
      <x:c r="X72" t="s">
        <x:v>54</x:v>
      </x:c>
      <x:c r="Y72" t="s">
        <x:v>1089</x:v>
      </x:c>
      <x:c r="Z72" t="s">
        <x:v>1090</x:v>
      </x:c>
      <x:c r="AA72" t="s">
        <x:v>1091</x:v>
      </x:c>
      <x:c r="AB72" t="s">
        <x:v>54</x:v>
      </x:c>
      <x:c r="AC72" t="s">
        <x:v>68</x:v>
      </x:c>
      <x:c r="AD72" t="s">
        <x:v>54</x:v>
      </x:c>
      <x:c r="AE72" t="s">
        <x:v>54</x:v>
      </x:c>
      <x:c r="AF72" t="s">
        <x:v>54</x:v>
      </x:c>
      <x:c r="AG72" t="s">
        <x:v>1092</x:v>
      </x:c>
      <x:c r="AH72" t="s">
        <x:v>54</x:v>
      </x:c>
      <x:c r="AI72" t="s">
        <x:v>54</x:v>
      </x:c>
      <x:c r="AJ72" t="s">
        <x:v>54</x:v>
      </x:c>
      <x:c r="AK72" t="s">
        <x:v>54</x:v>
      </x:c>
      <x:c r="AL72" t="s">
        <x:v>54</x:v>
      </x:c>
      <x:c r="AM72" t="s">
        <x:v>1093</x:v>
      </x:c>
      <x:c r="AN72" t="s">
        <x:v>678</x:v>
      </x:c>
      <x:c r="AO72" t="s">
        <x:v>54</x:v>
      </x:c>
      <x:c r="AP72" t="s">
        <x:v>54</x:v>
      </x:c>
      <x:c r="AQ72" t="b">
        <x:v>0</x:v>
      </x:c>
      <x:c r="AR72" t="s">
        <x:v>533</x:v>
      </x:c>
      <x:c r="AS72" t="s">
        <x:v>54</x:v>
      </x:c>
      <x:c r="AT72" t="s">
        <x:v>73</x:v>
      </x:c>
      <x:c r="AU72" t="s">
        <x:v>1087</x:v>
      </x:c>
      <x:c r="AV72" t="s">
        <x:v>75</x:v>
      </x:c>
      <x:c r="AW72" t="s">
        <x:v>88</x:v>
      </x:c>
      <x:c r="AX72" t="s">
        <x:v>1088</x:v>
      </x:c>
      <x:c r="AY72" t="str">
        <x:f>IF(AND(ISNUMBER(SEARCH("Donovan",AC72)),OR(AT72=TRUE,AT72="TRUE"),OR(AQ72=FALSE,AQ72="FALSE")),"YES","NO")</x:f>
        <x:v>YES</x:v>
      </x:c>
      <x:c r="AZ72" t="str">
        <x:f>IF(AND(AY72="YES",LEFT(I72,2)="FF"),"YES","NO")</x:f>
        <x:v>YES</x:v>
      </x:c>
      <x:c r="BA72" t="str">
        <x:f>IF(AZ72&lt;&gt;"YES","Not FF focus",IF(N72&lt;=2,"0-2 Remote Window",IF(N72&lt;=5,"3-5 Client Follow-up",IF(N72=6,"Day 6 Escalate","7+ Overdue"))))</x:f>
        <x:v>7+ Overdue</x:v>
      </x:c>
      <x:c r="BB72" t="str">
        <x:f>IF(AZ72&lt;&gt;"YES","Excluded",IF(N72&lt;=2,"On Track",IF(N72&lt;=5,"Warning",IF(N72=6,"Escalate Today","Overdue"))))</x:f>
        <x:v>Overdue</x:v>
      </x:c>
      <x:c r="BC72" t="str">
        <x:f>IF(AY72&lt;&gt;"YES","",IF(ISNUMBER(SEARCH("Quote Sent",P72)),"Follow up quote approval weekly + add JC comment",IF(ISNUMBER(SEARCH("Awaiting install",P72)),"Confirm install date/ETA + update JC",IF(ISNUMBER(SEARCH("Schedule",P72)),"Schedule/confirm tech action",IF(AZ72="YES",IF(N72&lt;=2,"Troubleshoot remotely + comment evidence",IF(N72&lt;=5,"Email/call client + record who/when/outcome","Escalate to Lindy + agree action plan")),"Check current status + add clear JC comment")))))</x:f>
        <x:v>Escalate to Lindy + agree action plan</x:v>
      </x:c>
      <x:c r="BD72" t="n">
        <x:f>IF(AZ72="YES",6-N72,"")</x:f>
        <x:v>-11</x:v>
      </x:c>
      <x:c r="BE72" t="str">
        <x:f>IF(AY72="YES","Comment must show: date, contact person, method, outcome, next action","")</x:f>
        <x:v>Comment must show: date, contact person, method, outcome, next action</x:v>
      </x:c>
      <x:c r="BF72" t="str">
        <x:f>IF(AND(AY72="YES",O72&gt;=7),"Stuck in status 7+ days","")</x:f>
        <x:v>Stuck in status 7+ days</x:v>
      </x:c>
    </x:row>
    <x:row r="73">
      <x:c r="A73" t="s">
        <x:v>109</x:v>
      </x:c>
      <x:c r="B73" t="s">
        <x:v>1094</x:v>
      </x:c>
      <x:c r="C73" t="s">
        <x:v>1095</x:v>
      </x:c>
      <x:c r="D73" t="s">
        <x:v>1096</x:v>
      </x:c>
      <x:c r="E73" t="s">
        <x:v>54</x:v>
      </x:c>
      <x:c r="F73" t="s">
        <x:v>1097</x:v>
      </x:c>
      <x:c r="G73" t="s">
        <x:v>1098</x:v>
      </x:c>
      <x:c r="H73" t="s">
        <x:v>54</x:v>
      </x:c>
      <x:c r="I73" t="s">
        <x:v>95</x:v>
      </x:c>
      <x:c r="J73" t="s">
        <x:v>1099</x:v>
      </x:c>
      <x:c r="K73" t="s">
        <x:v>54</x:v>
      </x:c>
      <x:c r="L73" t="s">
        <x:v>1100</x:v>
      </x:c>
      <x:c r="M73" t="s">
        <x:v>1101</x:v>
      </x:c>
      <x:c r="N73">
        <x:v>14</x:v>
      </x:c>
      <x:c r="O73">
        <x:v>13</x:v>
      </x:c>
      <x:c r="P73" t="s">
        <x:v>491</x:v>
      </x:c>
      <x:c r="Q73" t="s">
        <x:v>1102</x:v>
      </x:c>
      <x:c r="R73" t="s">
        <x:v>54</x:v>
      </x:c>
      <x:c r="S73" t="s">
        <x:v>54</x:v>
      </x:c>
      <x:c r="T73" t="s">
        <x:v>54</x:v>
      </x:c>
      <x:c r="U73" t="s">
        <x:v>54</x:v>
      </x:c>
      <x:c r="V73" t="s">
        <x:v>54</x:v>
      </x:c>
      <x:c r="W73" t="s">
        <x:v>54</x:v>
      </x:c>
      <x:c r="X73" t="s">
        <x:v>54</x:v>
      </x:c>
      <x:c r="Y73" t="s">
        <x:v>1103</x:v>
      </x:c>
      <x:c r="Z73" t="s">
        <x:v>1104</x:v>
      </x:c>
      <x:c r="AA73" t="s">
        <x:v>1105</x:v>
      </x:c>
      <x:c r="AB73" t="s">
        <x:v>54</x:v>
      </x:c>
      <x:c r="AC73" t="s">
        <x:v>68</x:v>
      </x:c>
      <x:c r="AD73" t="s">
        <x:v>54</x:v>
      </x:c>
      <x:c r="AE73" t="s">
        <x:v>54</x:v>
      </x:c>
      <x:c r="AF73" t="s">
        <x:v>54</x:v>
      </x:c>
      <x:c r="AG73" t="s">
        <x:v>1106</x:v>
      </x:c>
      <x:c r="AH73" t="s">
        <x:v>54</x:v>
      </x:c>
      <x:c r="AI73" t="s">
        <x:v>54</x:v>
      </x:c>
      <x:c r="AJ73" t="s">
        <x:v>54</x:v>
      </x:c>
      <x:c r="AK73" t="s">
        <x:v>54</x:v>
      </x:c>
      <x:c r="AL73" t="s">
        <x:v>54</x:v>
      </x:c>
      <x:c r="AM73" t="s">
        <x:v>889</x:v>
      </x:c>
      <x:c r="AN73" t="s">
        <x:v>1107</x:v>
      </x:c>
      <x:c r="AO73" t="s">
        <x:v>54</x:v>
      </x:c>
      <x:c r="AP73" t="s">
        <x:v>54</x:v>
      </x:c>
      <x:c r="AQ73" t="b">
        <x:v>0</x:v>
      </x:c>
      <x:c r="AR73" t="s">
        <x:v>498</x:v>
      </x:c>
      <x:c r="AS73" t="s">
        <x:v>54</x:v>
      </x:c>
      <x:c r="AT73" t="s">
        <x:v>73</x:v>
      </x:c>
      <x:c r="AU73" t="s">
        <x:v>1108</x:v>
      </x:c>
      <x:c r="AV73" t="s">
        <x:v>75</x:v>
      </x:c>
      <x:c r="AW73" t="s">
        <x:v>88</x:v>
      </x:c>
      <x:c r="AX73" t="s">
        <x:v>1102</x:v>
      </x:c>
      <x:c r="AY73" t="str">
        <x:f>IF(AND(ISNUMBER(SEARCH("Donovan",AC73)),OR(AT73=TRUE,AT73="TRUE"),OR(AQ73=FALSE,AQ73="FALSE")),"YES","NO")</x:f>
        <x:v>YES</x:v>
      </x:c>
      <x:c r="AZ73" t="str">
        <x:f>IF(AND(AY73="YES",LEFT(I73,2)="FF"),"YES","NO")</x:f>
        <x:v>YES</x:v>
      </x:c>
      <x:c r="BA73" t="str">
        <x:f>IF(AZ73&lt;&gt;"YES","Not FF focus",IF(N73&lt;=2,"0-2 Remote Window",IF(N73&lt;=5,"3-5 Client Follow-up",IF(N73=6,"Day 6 Escalate","7+ Overdue"))))</x:f>
        <x:v>7+ Overdue</x:v>
      </x:c>
      <x:c r="BB73" t="str">
        <x:f>IF(AZ73&lt;&gt;"YES","Excluded",IF(N73&lt;=2,"On Track",IF(N73&lt;=5,"Warning",IF(N73=6,"Escalate Today","Overdue"))))</x:f>
        <x:v>Overdue</x:v>
      </x:c>
      <x:c r="BC73" t="str">
        <x:f>IF(AY73&lt;&gt;"YES","",IF(ISNUMBER(SEARCH("Quote Sent",P73)),"Follow up quote approval weekly + add JC comment",IF(ISNUMBER(SEARCH("Awaiting install",P73)),"Confirm install date/ETA + update JC",IF(ISNUMBER(SEARCH("Schedule",P73)),"Schedule/confirm tech action",IF(AZ73="YES",IF(N73&lt;=2,"Troubleshoot remotely + comment evidence",IF(N73&lt;=5,"Email/call client + record who/when/outcome","Escalate to Lindy + agree action plan")),"Check current status + add clear JC comment")))))</x:f>
        <x:v>Escalate to Lindy + agree action plan</x:v>
      </x:c>
      <x:c r="BD73" t="n">
        <x:f>IF(AZ73="YES",6-N73,"")</x:f>
        <x:v>-8</x:v>
      </x:c>
      <x:c r="BE73" t="str">
        <x:f>IF(AY73="YES","Comment must show: date, contact person, method, outcome, next action","")</x:f>
        <x:v>Comment must show: date, contact person, method, outcome, next action</x:v>
      </x:c>
      <x:c r="BF73" t="str">
        <x:f>IF(AND(AY73="YES",O73&gt;=7),"Stuck in status 7+ days","")</x:f>
        <x:v>Stuck in status 7+ days</x:v>
      </x:c>
    </x:row>
    <x:row r="74">
      <x:c r="A74" t="s">
        <x:v>109</x:v>
      </x:c>
      <x:c r="B74" t="s">
        <x:v>1109</x:v>
      </x:c>
      <x:c r="C74" t="s">
        <x:v>1110</x:v>
      </x:c>
      <x:c r="D74" t="s">
        <x:v>1111</x:v>
      </x:c>
      <x:c r="E74" t="s">
        <x:v>54</x:v>
      </x:c>
      <x:c r="F74" t="s">
        <x:v>1112</x:v>
      </x:c>
      <x:c r="G74" t="s">
        <x:v>1113</x:v>
      </x:c>
      <x:c r="H74" t="s">
        <x:v>1114</x:v>
      </x:c>
      <x:c r="I74" t="s">
        <x:v>95</x:v>
      </x:c>
      <x:c r="J74" t="s">
        <x:v>1115</x:v>
      </x:c>
      <x:c r="K74" t="s">
        <x:v>54</x:v>
      </x:c>
      <x:c r="L74" t="s">
        <x:v>1116</x:v>
      </x:c>
      <x:c r="M74" t="s">
        <x:v>1117</x:v>
      </x:c>
      <x:c r="N74">
        <x:v>14</x:v>
      </x:c>
      <x:c r="O74">
        <x:v>13</x:v>
      </x:c>
      <x:c r="P74" t="s">
        <x:v>491</x:v>
      </x:c>
      <x:c r="Q74" t="s">
        <x:v>1118</x:v>
      </x:c>
      <x:c r="R74" t="s">
        <x:v>54</x:v>
      </x:c>
      <x:c r="S74" t="s">
        <x:v>54</x:v>
      </x:c>
      <x:c r="T74" t="s">
        <x:v>54</x:v>
      </x:c>
      <x:c r="U74" t="s">
        <x:v>54</x:v>
      </x:c>
      <x:c r="V74" t="s">
        <x:v>54</x:v>
      </x:c>
      <x:c r="W74" t="s">
        <x:v>54</x:v>
      </x:c>
      <x:c r="X74" t="s">
        <x:v>54</x:v>
      </x:c>
      <x:c r="Y74" t="s">
        <x:v>1119</x:v>
      </x:c>
      <x:c r="Z74" t="s">
        <x:v>1104</x:v>
      </x:c>
      <x:c r="AA74" t="s">
        <x:v>1120</x:v>
      </x:c>
      <x:c r="AB74" t="s">
        <x:v>54</x:v>
      </x:c>
      <x:c r="AC74" t="s">
        <x:v>68</x:v>
      </x:c>
      <x:c r="AD74" t="s">
        <x:v>54</x:v>
      </x:c>
      <x:c r="AE74" t="s">
        <x:v>54</x:v>
      </x:c>
      <x:c r="AF74" t="s">
        <x:v>54</x:v>
      </x:c>
      <x:c r="AG74" t="s">
        <x:v>1121</x:v>
      </x:c>
      <x:c r="AH74" t="s">
        <x:v>54</x:v>
      </x:c>
      <x:c r="AI74" t="s">
        <x:v>54</x:v>
      </x:c>
      <x:c r="AJ74" t="s">
        <x:v>54</x:v>
      </x:c>
      <x:c r="AK74" t="s">
        <x:v>54</x:v>
      </x:c>
      <x:c r="AL74" t="s">
        <x:v>54</x:v>
      </x:c>
      <x:c r="AM74" t="s">
        <x:v>889</x:v>
      </x:c>
      <x:c r="AN74" t="s">
        <x:v>1107</x:v>
      </x:c>
      <x:c r="AO74" t="s">
        <x:v>54</x:v>
      </x:c>
      <x:c r="AP74" t="s">
        <x:v>54</x:v>
      </x:c>
      <x:c r="AQ74" t="b">
        <x:v>0</x:v>
      </x:c>
      <x:c r="AR74" t="s">
        <x:v>498</x:v>
      </x:c>
      <x:c r="AS74" t="s">
        <x:v>54</x:v>
      </x:c>
      <x:c r="AT74" t="s">
        <x:v>73</x:v>
      </x:c>
      <x:c r="AU74" t="s">
        <x:v>1122</x:v>
      </x:c>
      <x:c r="AV74" t="s">
        <x:v>75</x:v>
      </x:c>
      <x:c r="AW74" t="s">
        <x:v>88</x:v>
      </x:c>
      <x:c r="AX74" t="s">
        <x:v>1123</x:v>
      </x:c>
      <x:c r="AY74" t="str">
        <x:f>IF(AND(ISNUMBER(SEARCH("Donovan",AC74)),OR(AT74=TRUE,AT74="TRUE"),OR(AQ74=FALSE,AQ74="FALSE")),"YES","NO")</x:f>
        <x:v>YES</x:v>
      </x:c>
      <x:c r="AZ74" t="str">
        <x:f>IF(AND(AY74="YES",LEFT(I74,2)="FF"),"YES","NO")</x:f>
        <x:v>YES</x:v>
      </x:c>
      <x:c r="BA74" t="str">
        <x:f>IF(AZ74&lt;&gt;"YES","Not FF focus",IF(N74&lt;=2,"0-2 Remote Window",IF(N74&lt;=5,"3-5 Client Follow-up",IF(N74=6,"Day 6 Escalate","7+ Overdue"))))</x:f>
        <x:v>7+ Overdue</x:v>
      </x:c>
      <x:c r="BB74" t="str">
        <x:f>IF(AZ74&lt;&gt;"YES","Excluded",IF(N74&lt;=2,"On Track",IF(N74&lt;=5,"Warning",IF(N74=6,"Escalate Today","Overdue"))))</x:f>
        <x:v>Overdue</x:v>
      </x:c>
      <x:c r="BC74" t="str">
        <x:f>IF(AY74&lt;&gt;"YES","",IF(ISNUMBER(SEARCH("Quote Sent",P74)),"Follow up quote approval weekly + add JC comment",IF(ISNUMBER(SEARCH("Awaiting install",P74)),"Confirm install date/ETA + update JC",IF(ISNUMBER(SEARCH("Schedule",P74)),"Schedule/confirm tech action",IF(AZ74="YES",IF(N74&lt;=2,"Troubleshoot remotely + comment evidence",IF(N74&lt;=5,"Email/call client + record who/when/outcome","Escalate to Lindy + agree action plan")),"Check current status + add clear JC comment")))))</x:f>
        <x:v>Escalate to Lindy + agree action plan</x:v>
      </x:c>
      <x:c r="BD74" t="n">
        <x:f>IF(AZ74="YES",6-N74,"")</x:f>
        <x:v>-8</x:v>
      </x:c>
      <x:c r="BE74" t="str">
        <x:f>IF(AY74="YES","Comment must show: date, contact person, method, outcome, next action","")</x:f>
        <x:v>Comment must show: date, contact person, method, outcome, next action</x:v>
      </x:c>
      <x:c r="BF74" t="str">
        <x:f>IF(AND(AY74="YES",O74&gt;=7),"Stuck in status 7+ days","")</x:f>
        <x:v>Stuck in status 7+ days</x:v>
      </x:c>
    </x:row>
    <x:row r="75">
      <x:c r="A75" t="s">
        <x:v>109</x:v>
      </x:c>
      <x:c r="B75" t="s">
        <x:v>1124</x:v>
      </x:c>
      <x:c r="C75" t="s">
        <x:v>1125</x:v>
      </x:c>
      <x:c r="D75" t="s">
        <x:v>1126</x:v>
      </x:c>
      <x:c r="E75" t="s">
        <x:v>54</x:v>
      </x:c>
      <x:c r="F75" t="s">
        <x:v>1127</x:v>
      </x:c>
      <x:c r="G75" t="s">
        <x:v>1128</x:v>
      </x:c>
      <x:c r="H75" t="s">
        <x:v>54</x:v>
      </x:c>
      <x:c r="I75" t="s">
        <x:v>142</x:v>
      </x:c>
      <x:c r="J75" t="s">
        <x:v>1129</x:v>
      </x:c>
      <x:c r="K75" t="s">
        <x:v>54</x:v>
      </x:c>
      <x:c r="L75" t="s">
        <x:v>1130</x:v>
      </x:c>
      <x:c r="M75" t="s">
        <x:v>1131</x:v>
      </x:c>
      <x:c r="N75">
        <x:v>14</x:v>
      </x:c>
      <x:c r="O75">
        <x:v>2</x:v>
      </x:c>
      <x:c r="P75" t="s">
        <x:v>1132</x:v>
      </x:c>
      <x:c r="Q75" t="s">
        <x:v>1133</x:v>
      </x:c>
      <x:c r="R75" t="s">
        <x:v>54</x:v>
      </x:c>
      <x:c r="S75" t="s">
        <x:v>54</x:v>
      </x:c>
      <x:c r="T75" t="s">
        <x:v>54</x:v>
      </x:c>
      <x:c r="U75" t="s">
        <x:v>54</x:v>
      </x:c>
      <x:c r="V75" t="s">
        <x:v>54</x:v>
      </x:c>
      <x:c r="W75" t="s">
        <x:v>54</x:v>
      </x:c>
      <x:c r="X75" t="s">
        <x:v>54</x:v>
      </x:c>
      <x:c r="Y75" t="s">
        <x:v>54</x:v>
      </x:c>
      <x:c r="Z75" t="s">
        <x:v>54</x:v>
      </x:c>
      <x:c r="AA75" t="s">
        <x:v>54</x:v>
      </x:c>
      <x:c r="AB75" t="s">
        <x:v>54</x:v>
      </x:c>
      <x:c r="AC75" t="s">
        <x:v>122</x:v>
      </x:c>
      <x:c r="AD75" t="s">
        <x:v>54</x:v>
      </x:c>
      <x:c r="AE75" t="s">
        <x:v>54</x:v>
      </x:c>
      <x:c r="AF75" t="s">
        <x:v>54</x:v>
      </x:c>
      <x:c r="AG75" t="s">
        <x:v>54</x:v>
      </x:c>
      <x:c r="AH75" t="s">
        <x:v>54</x:v>
      </x:c>
      <x:c r="AI75" t="s">
        <x:v>54</x:v>
      </x:c>
      <x:c r="AJ75" t="s">
        <x:v>54</x:v>
      </x:c>
      <x:c r="AK75" t="s">
        <x:v>54</x:v>
      </x:c>
      <x:c r="AL75" t="s">
        <x:v>54</x:v>
      </x:c>
      <x:c r="AM75" t="s">
        <x:v>54</x:v>
      </x:c>
      <x:c r="AN75" t="s">
        <x:v>54</x:v>
      </x:c>
      <x:c r="AO75" t="s">
        <x:v>54</x:v>
      </x:c>
      <x:c r="AP75" t="s">
        <x:v>54</x:v>
      </x:c>
      <x:c r="AQ75" t="b">
        <x:v>0</x:v>
      </x:c>
      <x:c r="AR75" t="s">
        <x:v>1134</x:v>
      </x:c>
      <x:c r="AS75" t="s">
        <x:v>54</x:v>
      </x:c>
      <x:c r="AT75" t="s">
        <x:v>73</x:v>
      </x:c>
      <x:c r="AU75" t="s">
        <x:v>1131</x:v>
      </x:c>
      <x:c r="AV75" t="s">
        <x:v>88</x:v>
      </x:c>
      <x:c r="AW75" t="s">
        <x:v>88</x:v>
      </x:c>
      <x:c r="AX75" t="s">
        <x:v>1135</x:v>
      </x:c>
      <x:c r="AY75" t="str">
        <x:f>IF(AND(ISNUMBER(SEARCH("Donovan",AC75)),OR(AT75=TRUE,AT75="TRUE"),OR(AQ75=FALSE,AQ75="FALSE")),"YES","NO")</x:f>
        <x:v>YES</x:v>
      </x:c>
      <x:c r="AZ75" t="str">
        <x:f>IF(AND(AY75="YES",LEFT(I75,2)="FF"),"YES","NO")</x:f>
        <x:v>NO</x:v>
      </x:c>
      <x:c r="BA75" t="str">
        <x:f>IF(AZ75&lt;&gt;"YES","Not FF focus",IF(N75&lt;=2,"0-2 Remote Window",IF(N75&lt;=5,"3-5 Client Follow-up",IF(N75=6,"Day 6 Escalate","7+ Overdue"))))</x:f>
        <x:v>Not FF focus</x:v>
      </x:c>
      <x:c r="BB75" t="str">
        <x:f>IF(AZ75&lt;&gt;"YES","Excluded",IF(N75&lt;=2,"On Track",IF(N75&lt;=5,"Warning",IF(N75=6,"Escalate Today","Overdue"))))</x:f>
        <x:v>Excluded</x:v>
      </x:c>
      <x:c r="BC75" t="str">
        <x:f>IF(AY75&lt;&gt;"YES","",IF(ISNUMBER(SEARCH("Quote Sent",P75)),"Follow up quote approval weekly + add JC comment",IF(ISNUMBER(SEARCH("Awaiting install",P75)),"Confirm install date/ETA + update JC",IF(ISNUMBER(SEARCH("Schedule",P75)),"Schedule/confirm tech action",IF(AZ75="YES",IF(N75&lt;=2,"Troubleshoot remotely + comment evidence",IF(N75&lt;=5,"Email/call client + record who/when/outcome","Escalate to Lindy + agree action plan")),"Check current status + add clear JC comment")))))</x:f>
        <x:v>Check current status + add clear JC comment</x:v>
      </x:c>
      <x:c r="BD75" t="str">
        <x:f>IF(AZ75="YES",6-N75,"")</x:f>
      </x:c>
      <x:c r="BE75" t="str">
        <x:f>IF(AY75="YES","Comment must show: date, contact person, method, outcome, next action","")</x:f>
        <x:v>Comment must show: date, contact person, method, outcome, next action</x:v>
      </x:c>
      <x:c r="BF75" t="str">
        <x:f>IF(AND(AY75="YES",O75&gt;=7),"Stuck in status 7+ days","")</x:f>
      </x:c>
    </x:row>
    <x:row r="76">
      <x:c r="A76" t="s">
        <x:v>109</x:v>
      </x:c>
      <x:c r="B76" t="s">
        <x:v>1136</x:v>
      </x:c>
      <x:c r="C76" t="s">
        <x:v>621</x:v>
      </x:c>
      <x:c r="D76" t="s">
        <x:v>622</x:v>
      </x:c>
      <x:c r="E76" t="s">
        <x:v>54</x:v>
      </x:c>
      <x:c r="F76" t="s">
        <x:v>623</x:v>
      </x:c>
      <x:c r="G76" t="s">
        <x:v>624</x:v>
      </x:c>
      <x:c r="H76" t="s">
        <x:v>54</x:v>
      </x:c>
      <x:c r="I76" t="s">
        <x:v>95</x:v>
      </x:c>
      <x:c r="J76" t="s">
        <x:v>1137</x:v>
      </x:c>
      <x:c r="K76" t="s">
        <x:v>54</x:v>
      </x:c>
      <x:c r="L76" t="s">
        <x:v>626</x:v>
      </x:c>
      <x:c r="M76" t="s">
        <x:v>1138</x:v>
      </x:c>
      <x:c r="N76">
        <x:v>14</x:v>
      </x:c>
      <x:c r="O76">
        <x:v>10</x:v>
      </x:c>
      <x:c r="P76" t="s">
        <x:v>526</x:v>
      </x:c>
      <x:c r="Q76" t="s">
        <x:v>1139</x:v>
      </x:c>
      <x:c r="R76" t="s">
        <x:v>54</x:v>
      </x:c>
      <x:c r="S76" t="s">
        <x:v>54</x:v>
      </x:c>
      <x:c r="T76" t="s">
        <x:v>54</x:v>
      </x:c>
      <x:c r="U76" t="s">
        <x:v>54</x:v>
      </x:c>
      <x:c r="V76" t="s">
        <x:v>54</x:v>
      </x:c>
      <x:c r="W76" t="s">
        <x:v>54</x:v>
      </x:c>
      <x:c r="X76" t="s">
        <x:v>54</x:v>
      </x:c>
      <x:c r="Y76" t="s">
        <x:v>1140</x:v>
      </x:c>
      <x:c r="Z76" t="s">
        <x:v>379</x:v>
      </x:c>
      <x:c r="AA76" t="s">
        <x:v>1141</x:v>
      </x:c>
      <x:c r="AB76" t="s">
        <x:v>54</x:v>
      </x:c>
      <x:c r="AC76" t="s">
        <x:v>68</x:v>
      </x:c>
      <x:c r="AD76" t="s">
        <x:v>54</x:v>
      </x:c>
      <x:c r="AE76" t="s">
        <x:v>54</x:v>
      </x:c>
      <x:c r="AF76" t="s">
        <x:v>54</x:v>
      </x:c>
      <x:c r="AG76" t="s">
        <x:v>1142</x:v>
      </x:c>
      <x:c r="AH76" t="s">
        <x:v>54</x:v>
      </x:c>
      <x:c r="AI76" t="s">
        <x:v>54</x:v>
      </x:c>
      <x:c r="AJ76" t="s">
        <x:v>54</x:v>
      </x:c>
      <x:c r="AK76" t="s">
        <x:v>54</x:v>
      </x:c>
      <x:c r="AL76" t="s">
        <x:v>54</x:v>
      </x:c>
      <x:c r="AM76" t="s">
        <x:v>1143</x:v>
      </x:c>
      <x:c r="AN76" t="s">
        <x:v>1144</x:v>
      </x:c>
      <x:c r="AO76" t="s">
        <x:v>54</x:v>
      </x:c>
      <x:c r="AP76" t="s">
        <x:v>54</x:v>
      </x:c>
      <x:c r="AQ76" t="b">
        <x:v>0</x:v>
      </x:c>
      <x:c r="AR76" t="s">
        <x:v>533</x:v>
      </x:c>
      <x:c r="AS76" t="s">
        <x:v>54</x:v>
      </x:c>
      <x:c r="AT76" t="s">
        <x:v>73</x:v>
      </x:c>
      <x:c r="AU76" t="s">
        <x:v>1138</x:v>
      </x:c>
      <x:c r="AV76" t="s">
        <x:v>481</x:v>
      </x:c>
      <x:c r="AW76" t="s">
        <x:v>88</x:v>
      </x:c>
      <x:c r="AX76" t="s">
        <x:v>1139</x:v>
      </x:c>
      <x:c r="AY76" t="str">
        <x:f>IF(AND(ISNUMBER(SEARCH("Donovan",AC76)),OR(AT76=TRUE,AT76="TRUE"),OR(AQ76=FALSE,AQ76="FALSE")),"YES","NO")</x:f>
        <x:v>YES</x:v>
      </x:c>
      <x:c r="AZ76" t="str">
        <x:f>IF(AND(AY76="YES",LEFT(I76,2)="FF"),"YES","NO")</x:f>
        <x:v>YES</x:v>
      </x:c>
      <x:c r="BA76" t="str">
        <x:f>IF(AZ76&lt;&gt;"YES","Not FF focus",IF(N76&lt;=2,"0-2 Remote Window",IF(N76&lt;=5,"3-5 Client Follow-up",IF(N76=6,"Day 6 Escalate","7+ Overdue"))))</x:f>
        <x:v>7+ Overdue</x:v>
      </x:c>
      <x:c r="BB76" t="str">
        <x:f>IF(AZ76&lt;&gt;"YES","Excluded",IF(N76&lt;=2,"On Track",IF(N76&lt;=5,"Warning",IF(N76=6,"Escalate Today","Overdue"))))</x:f>
        <x:v>Overdue</x:v>
      </x:c>
      <x:c r="BC76" t="str">
        <x:f>IF(AY76&lt;&gt;"YES","",IF(ISNUMBER(SEARCH("Quote Sent",P76)),"Follow up quote approval weekly + add JC comment",IF(ISNUMBER(SEARCH("Awaiting install",P76)),"Confirm install date/ETA + update JC",IF(ISNUMBER(SEARCH("Schedule",P76)),"Schedule/confirm tech action",IF(AZ76="YES",IF(N76&lt;=2,"Troubleshoot remotely + comment evidence",IF(N76&lt;=5,"Email/call client + record who/when/outcome","Escalate to Lindy + agree action plan")),"Check current status + add clear JC comment")))))</x:f>
        <x:v>Escalate to Lindy + agree action plan</x:v>
      </x:c>
      <x:c r="BD76" t="n">
        <x:f>IF(AZ76="YES",6-N76,"")</x:f>
        <x:v>-8</x:v>
      </x:c>
      <x:c r="BE76" t="str">
        <x:f>IF(AY76="YES","Comment must show: date, contact person, method, outcome, next action","")</x:f>
        <x:v>Comment must show: date, contact person, method, outcome, next action</x:v>
      </x:c>
      <x:c r="BF76" t="str">
        <x:f>IF(AND(AY76="YES",O76&gt;=7),"Stuck in status 7+ days","")</x:f>
        <x:v>Stuck in status 7+ days</x:v>
      </x:c>
    </x:row>
    <x:row r="77">
      <x:c r="A77" t="s">
        <x:v>109</x:v>
      </x:c>
      <x:c r="B77" t="s">
        <x:v>1145</x:v>
      </x:c>
      <x:c r="C77" t="s">
        <x:v>243</x:v>
      </x:c>
      <x:c r="D77" t="s">
        <x:v>244</x:v>
      </x:c>
      <x:c r="E77" t="s">
        <x:v>54</x:v>
      </x:c>
      <x:c r="F77" t="s">
        <x:v>245</x:v>
      </x:c>
      <x:c r="G77" t="s">
        <x:v>246</x:v>
      </x:c>
      <x:c r="H77" t="s">
        <x:v>54</x:v>
      </x:c>
      <x:c r="I77" t="s">
        <x:v>522</x:v>
      </x:c>
      <x:c r="J77" t="s">
        <x:v>1146</x:v>
      </x:c>
      <x:c r="K77" t="s">
        <x:v>54</x:v>
      </x:c>
      <x:c r="L77" t="s">
        <x:v>1147</x:v>
      </x:c>
      <x:c r="M77" t="s">
        <x:v>1148</x:v>
      </x:c>
      <x:c r="N77">
        <x:v>13</x:v>
      </x:c>
      <x:c r="O77">
        <x:v>13</x:v>
      </x:c>
      <x:c r="P77" t="s">
        <x:v>99</x:v>
      </x:c>
      <x:c r="Q77" t="s">
        <x:v>1149</x:v>
      </x:c>
      <x:c r="R77" t="s">
        <x:v>54</x:v>
      </x:c>
      <x:c r="S77" t="s">
        <x:v>54</x:v>
      </x:c>
      <x:c r="T77" t="s">
        <x:v>54</x:v>
      </x:c>
      <x:c r="U77" t="s">
        <x:v>54</x:v>
      </x:c>
      <x:c r="V77" t="s">
        <x:v>54</x:v>
      </x:c>
      <x:c r="W77" t="s">
        <x:v>54</x:v>
      </x:c>
      <x:c r="X77" t="s">
        <x:v>54</x:v>
      </x:c>
      <x:c r="Y77" t="s">
        <x:v>1150</x:v>
      </x:c>
      <x:c r="Z77" t="s">
        <x:v>1151</x:v>
      </x:c>
      <x:c r="AA77" t="s">
        <x:v>1152</x:v>
      </x:c>
      <x:c r="AB77" t="s">
        <x:v>54</x:v>
      </x:c>
      <x:c r="AC77" t="s">
        <x:v>1153</x:v>
      </x:c>
      <x:c r="AD77" t="s">
        <x:v>54</x:v>
      </x:c>
      <x:c r="AE77" t="s">
        <x:v>54</x:v>
      </x:c>
      <x:c r="AF77" t="s">
        <x:v>54</x:v>
      </x:c>
      <x:c r="AG77" t="s">
        <x:v>418</x:v>
      </x:c>
      <x:c r="AH77" t="s">
        <x:v>54</x:v>
      </x:c>
      <x:c r="AI77" t="s">
        <x:v>54</x:v>
      </x:c>
      <x:c r="AJ77" t="s">
        <x:v>54</x:v>
      </x:c>
      <x:c r="AK77" t="s">
        <x:v>54</x:v>
      </x:c>
      <x:c r="AL77" t="s">
        <x:v>54</x:v>
      </x:c>
      <x:c r="AM77" t="s">
        <x:v>678</x:v>
      </x:c>
      <x:c r="AN77" t="s">
        <x:v>1154</x:v>
      </x:c>
      <x:c r="AO77" t="s">
        <x:v>54</x:v>
      </x:c>
      <x:c r="AP77" t="s">
        <x:v>54</x:v>
      </x:c>
      <x:c r="AQ77" t="b">
        <x:v>0</x:v>
      </x:c>
      <x:c r="AR77" t="s">
        <x:v>792</x:v>
      </x:c>
      <x:c r="AS77" t="s">
        <x:v>54</x:v>
      </x:c>
      <x:c r="AT77" t="s">
        <x:v>73</x:v>
      </x:c>
      <x:c r="AU77" t="s">
        <x:v>1155</x:v>
      </x:c>
      <x:c r="AV77" t="s">
        <x:v>75</x:v>
      </x:c>
      <x:c r="AW77" t="s">
        <x:v>76</x:v>
      </x:c>
      <x:c r="AX77" t="s">
        <x:v>1156</x:v>
      </x:c>
      <x:c r="AY77" t="str">
        <x:f>IF(AND(ISNUMBER(SEARCH("Donovan",AC77)),OR(AT77=TRUE,AT77="TRUE"),OR(AQ77=FALSE,AQ77="FALSE")),"YES","NO")</x:f>
        <x:v>YES</x:v>
      </x:c>
      <x:c r="AZ77" t="str">
        <x:f>IF(AND(AY77="YES",LEFT(I77,2)="FF"),"YES","NO")</x:f>
        <x:v>YES</x:v>
      </x:c>
      <x:c r="BA77" t="str">
        <x:f>IF(AZ77&lt;&gt;"YES","Not FF focus",IF(N77&lt;=2,"0-2 Remote Window",IF(N77&lt;=5,"3-5 Client Follow-up",IF(N77=6,"Day 6 Escalate","7+ Overdue"))))</x:f>
        <x:v>7+ Overdue</x:v>
      </x:c>
      <x:c r="BB77" t="str">
        <x:f>IF(AZ77&lt;&gt;"YES","Excluded",IF(N77&lt;=2,"On Track",IF(N77&lt;=5,"Warning",IF(N77=6,"Escalate Today","Overdue"))))</x:f>
        <x:v>Overdue</x:v>
      </x:c>
      <x:c r="BC77" t="str">
        <x:f>IF(AY77&lt;&gt;"YES","",IF(ISNUMBER(SEARCH("Quote Sent",P77)),"Follow up quote approval weekly + add JC comment",IF(ISNUMBER(SEARCH("Awaiting install",P77)),"Confirm install date/ETA + update JC",IF(ISNUMBER(SEARCH("Schedule",P77)),"Schedule/confirm tech action",IF(AZ77="YES",IF(N77&lt;=2,"Troubleshoot remotely + comment evidence",IF(N77&lt;=5,"Email/call client + record who/when/outcome","Escalate to Lindy + agree action plan")),"Check current status + add clear JC comment")))))</x:f>
        <x:v>Schedule/confirm tech action</x:v>
      </x:c>
      <x:c r="BD77" t="n">
        <x:f>IF(AZ77="YES",6-N77,"")</x:f>
        <x:v>-7</x:v>
      </x:c>
      <x:c r="BE77" t="str">
        <x:f>IF(AY77="YES","Comment must show: date, contact person, method, outcome, next action","")</x:f>
        <x:v>Comment must show: date, contact person, method, outcome, next action</x:v>
      </x:c>
      <x:c r="BF77" t="str">
        <x:f>IF(AND(AY77="YES",O77&gt;=7),"Stuck in status 7+ days","")</x:f>
        <x:v>Stuck in status 7+ days</x:v>
      </x:c>
    </x:row>
    <x:row r="78">
      <x:c r="A78" t="s">
        <x:v>109</x:v>
      </x:c>
      <x:c r="B78" t="s">
        <x:v>1157</x:v>
      </x:c>
      <x:c r="C78" t="s">
        <x:v>1158</x:v>
      </x:c>
      <x:c r="D78" t="s">
        <x:v>1159</x:v>
      </x:c>
      <x:c r="E78" t="s">
        <x:v>54</x:v>
      </x:c>
      <x:c r="F78" t="s">
        <x:v>1160</x:v>
      </x:c>
      <x:c r="G78" t="s">
        <x:v>1161</x:v>
      </x:c>
      <x:c r="H78" t="s">
        <x:v>1162</x:v>
      </x:c>
      <x:c r="I78" t="s">
        <x:v>522</x:v>
      </x:c>
      <x:c r="J78" t="s">
        <x:v>1163</x:v>
      </x:c>
      <x:c r="K78" t="s">
        <x:v>54</x:v>
      </x:c>
      <x:c r="L78" t="s">
        <x:v>1164</x:v>
      </x:c>
      <x:c r="M78" t="s">
        <x:v>1165</x:v>
      </x:c>
      <x:c r="N78">
        <x:v>10</x:v>
      </x:c>
      <x:c r="O78">
        <x:v>10</x:v>
      </x:c>
      <x:c r="P78" t="s">
        <x:v>526</x:v>
      </x:c>
      <x:c r="Q78" t="s">
        <x:v>1166</x:v>
      </x:c>
      <x:c r="R78" t="s">
        <x:v>54</x:v>
      </x:c>
      <x:c r="S78" t="s">
        <x:v>54</x:v>
      </x:c>
      <x:c r="T78" t="s">
        <x:v>54</x:v>
      </x:c>
      <x:c r="U78" t="s">
        <x:v>54</x:v>
      </x:c>
      <x:c r="V78" t="s">
        <x:v>54</x:v>
      </x:c>
      <x:c r="W78" t="s">
        <x:v>54</x:v>
      </x:c>
      <x:c r="X78" t="s">
        <x:v>54</x:v>
      </x:c>
      <x:c r="Y78" t="s">
        <x:v>1167</x:v>
      </x:c>
      <x:c r="Z78" t="s">
        <x:v>1104</x:v>
      </x:c>
      <x:c r="AA78" t="s">
        <x:v>1168</x:v>
      </x:c>
      <x:c r="AB78" t="s">
        <x:v>54</x:v>
      </x:c>
      <x:c r="AC78" t="s">
        <x:v>68</x:v>
      </x:c>
      <x:c r="AD78" t="s">
        <x:v>54</x:v>
      </x:c>
      <x:c r="AE78" t="s">
        <x:v>54</x:v>
      </x:c>
      <x:c r="AF78" t="s">
        <x:v>54</x:v>
      </x:c>
      <x:c r="AG78" t="s">
        <x:v>1169</x:v>
      </x:c>
      <x:c r="AH78" t="s">
        <x:v>54</x:v>
      </x:c>
      <x:c r="AI78" t="s">
        <x:v>54</x:v>
      </x:c>
      <x:c r="AJ78" t="s">
        <x:v>54</x:v>
      </x:c>
      <x:c r="AK78" t="s">
        <x:v>54</x:v>
      </x:c>
      <x:c r="AL78" t="s">
        <x:v>54</x:v>
      </x:c>
      <x:c r="AM78" t="s">
        <x:v>1170</x:v>
      </x:c>
      <x:c r="AN78" t="s">
        <x:v>1107</x:v>
      </x:c>
      <x:c r="AO78" t="s">
        <x:v>54</x:v>
      </x:c>
      <x:c r="AP78" t="s">
        <x:v>54</x:v>
      </x:c>
      <x:c r="AQ78" t="b">
        <x:v>0</x:v>
      </x:c>
      <x:c r="AR78" t="s">
        <x:v>533</x:v>
      </x:c>
      <x:c r="AS78" t="s">
        <x:v>54</x:v>
      </x:c>
      <x:c r="AT78" t="s">
        <x:v>73</x:v>
      </x:c>
      <x:c r="AU78" t="s">
        <x:v>1171</x:v>
      </x:c>
      <x:c r="AV78" t="s">
        <x:v>75</x:v>
      </x:c>
      <x:c r="AW78" t="s">
        <x:v>88</x:v>
      </x:c>
      <x:c r="AX78" t="s">
        <x:v>1166</x:v>
      </x:c>
      <x:c r="AY78" t="str">
        <x:f>IF(AND(ISNUMBER(SEARCH("Donovan",AC78)),OR(AT78=TRUE,AT78="TRUE"),OR(AQ78=FALSE,AQ78="FALSE")),"YES","NO")</x:f>
        <x:v>YES</x:v>
      </x:c>
      <x:c r="AZ78" t="str">
        <x:f>IF(AND(AY78="YES",LEFT(I78,2)="FF"),"YES","NO")</x:f>
        <x:v>YES</x:v>
      </x:c>
      <x:c r="BA78" t="str">
        <x:f>IF(AZ78&lt;&gt;"YES","Not FF focus",IF(N78&lt;=2,"0-2 Remote Window",IF(N78&lt;=5,"3-5 Client Follow-up",IF(N78=6,"Day 6 Escalate","7+ Overdue"))))</x:f>
        <x:v>7+ Overdue</x:v>
      </x:c>
      <x:c r="BB78" t="str">
        <x:f>IF(AZ78&lt;&gt;"YES","Excluded",IF(N78&lt;=2,"On Track",IF(N78&lt;=5,"Warning",IF(N78=6,"Escalate Today","Overdue"))))</x:f>
        <x:v>Overdue</x:v>
      </x:c>
      <x:c r="BC78" t="str">
        <x:f>IF(AY78&lt;&gt;"YES","",IF(ISNUMBER(SEARCH("Quote Sent",P78)),"Follow up quote approval weekly + add JC comment",IF(ISNUMBER(SEARCH("Awaiting install",P78)),"Confirm install date/ETA + update JC",IF(ISNUMBER(SEARCH("Schedule",P78)),"Schedule/confirm tech action",IF(AZ78="YES",IF(N78&lt;=2,"Troubleshoot remotely + comment evidence",IF(N78&lt;=5,"Email/call client + record who/when/outcome","Escalate to Lindy + agree action plan")),"Check current status + add clear JC comment")))))</x:f>
        <x:v>Escalate to Lindy + agree action plan</x:v>
      </x:c>
      <x:c r="BD78" t="n">
        <x:f>IF(AZ78="YES",6-N78,"")</x:f>
        <x:v>-4</x:v>
      </x:c>
      <x:c r="BE78" t="str">
        <x:f>IF(AY78="YES","Comment must show: date, contact person, method, outcome, next action","")</x:f>
        <x:v>Comment must show: date, contact person, method, outcome, next action</x:v>
      </x:c>
      <x:c r="BF78" t="str">
        <x:f>IF(AND(AY78="YES",O78&gt;=7),"Stuck in status 7+ days","")</x:f>
        <x:v>Stuck in status 7+ days</x:v>
      </x:c>
    </x:row>
    <x:row r="79">
      <x:c r="A79" t="s">
        <x:v>109</x:v>
      </x:c>
      <x:c r="B79" t="s">
        <x:v>1172</x:v>
      </x:c>
      <x:c r="C79" t="s">
        <x:v>1173</x:v>
      </x:c>
      <x:c r="D79" t="s">
        <x:v>1174</x:v>
      </x:c>
      <x:c r="E79" t="s">
        <x:v>54</x:v>
      </x:c>
      <x:c r="F79" t="s">
        <x:v>1175</x:v>
      </x:c>
      <x:c r="G79" t="s">
        <x:v>1176</x:v>
      </x:c>
      <x:c r="H79" t="s">
        <x:v>1177</x:v>
      </x:c>
      <x:c r="I79" t="s">
        <x:v>409</x:v>
      </x:c>
      <x:c r="J79" t="s">
        <x:v>1178</x:v>
      </x:c>
      <x:c r="K79" t="s">
        <x:v>54</x:v>
      </x:c>
      <x:c r="L79" t="s">
        <x:v>1179</x:v>
      </x:c>
      <x:c r="M79" t="s">
        <x:v>1180</x:v>
      </x:c>
      <x:c r="N79">
        <x:v>9</x:v>
      </x:c>
      <x:c r="O79">
        <x:v>8</x:v>
      </x:c>
      <x:c r="P79" t="s">
        <x:v>526</x:v>
      </x:c>
      <x:c r="Q79" t="s">
        <x:v>1181</x:v>
      </x:c>
      <x:c r="R79" t="s">
        <x:v>54</x:v>
      </x:c>
      <x:c r="S79" t="s">
        <x:v>54</x:v>
      </x:c>
      <x:c r="T79" t="s">
        <x:v>54</x:v>
      </x:c>
      <x:c r="U79" t="s">
        <x:v>54</x:v>
      </x:c>
      <x:c r="V79" t="s">
        <x:v>54</x:v>
      </x:c>
      <x:c r="W79" t="s">
        <x:v>54</x:v>
      </x:c>
      <x:c r="X79" t="s">
        <x:v>54</x:v>
      </x:c>
      <x:c r="Y79" t="s">
        <x:v>1182</x:v>
      </x:c>
      <x:c r="Z79" t="s">
        <x:v>1183</x:v>
      </x:c>
      <x:c r="AA79" t="s">
        <x:v>1184</x:v>
      </x:c>
      <x:c r="AB79" t="s">
        <x:v>54</x:v>
      </x:c>
      <x:c r="AC79" t="s">
        <x:v>68</x:v>
      </x:c>
      <x:c r="AD79" t="s">
        <x:v>54</x:v>
      </x:c>
      <x:c r="AE79" t="s">
        <x:v>54</x:v>
      </x:c>
      <x:c r="AF79" t="s">
        <x:v>54</x:v>
      </x:c>
      <x:c r="AG79" t="s">
        <x:v>1185</x:v>
      </x:c>
      <x:c r="AH79" t="s">
        <x:v>54</x:v>
      </x:c>
      <x:c r="AI79" t="s">
        <x:v>54</x:v>
      </x:c>
      <x:c r="AJ79" t="s">
        <x:v>54</x:v>
      </x:c>
      <x:c r="AK79" t="s">
        <x:v>54</x:v>
      </x:c>
      <x:c r="AL79" t="s">
        <x:v>54</x:v>
      </x:c>
      <x:c r="AM79" t="s">
        <x:v>1186</x:v>
      </x:c>
      <x:c r="AN79" t="s">
        <x:v>238</x:v>
      </x:c>
      <x:c r="AO79" t="s">
        <x:v>54</x:v>
      </x:c>
      <x:c r="AP79" t="s">
        <x:v>54</x:v>
      </x:c>
      <x:c r="AQ79" t="b">
        <x:v>0</x:v>
      </x:c>
      <x:c r="AR79" t="s">
        <x:v>533</x:v>
      </x:c>
      <x:c r="AS79" t="s">
        <x:v>54</x:v>
      </x:c>
      <x:c r="AT79" t="s">
        <x:v>73</x:v>
      </x:c>
      <x:c r="AU79" t="s">
        <x:v>1187</x:v>
      </x:c>
      <x:c r="AV79" t="s">
        <x:v>75</x:v>
      </x:c>
      <x:c r="AW79" t="s">
        <x:v>88</x:v>
      </x:c>
      <x:c r="AX79" t="s">
        <x:v>1188</x:v>
      </x:c>
      <x:c r="AY79" t="str">
        <x:f>IF(AND(ISNUMBER(SEARCH("Donovan",AC79)),OR(AT79=TRUE,AT79="TRUE"),OR(AQ79=FALSE,AQ79="FALSE")),"YES","NO")</x:f>
        <x:v>YES</x:v>
      </x:c>
      <x:c r="AZ79" t="str">
        <x:f>IF(AND(AY79="YES",LEFT(I79,2)="FF"),"YES","NO")</x:f>
        <x:v>YES</x:v>
      </x:c>
      <x:c r="BA79" t="str">
        <x:f>IF(AZ79&lt;&gt;"YES","Not FF focus",IF(N79&lt;=2,"0-2 Remote Window",IF(N79&lt;=5,"3-5 Client Follow-up",IF(N79=6,"Day 6 Escalate","7+ Overdue"))))</x:f>
        <x:v>7+ Overdue</x:v>
      </x:c>
      <x:c r="BB79" t="str">
        <x:f>IF(AZ79&lt;&gt;"YES","Excluded",IF(N79&lt;=2,"On Track",IF(N79&lt;=5,"Warning",IF(N79=6,"Escalate Today","Overdue"))))</x:f>
        <x:v>Overdue</x:v>
      </x:c>
      <x:c r="BC79" t="str">
        <x:f>IF(AY79&lt;&gt;"YES","",IF(ISNUMBER(SEARCH("Quote Sent",P79)),"Follow up quote approval weekly + add JC comment",IF(ISNUMBER(SEARCH("Awaiting install",P79)),"Confirm install date/ETA + update JC",IF(ISNUMBER(SEARCH("Schedule",P79)),"Schedule/confirm tech action",IF(AZ79="YES",IF(N79&lt;=2,"Troubleshoot remotely + comment evidence",IF(N79&lt;=5,"Email/call client + record who/when/outcome","Escalate to Lindy + agree action plan")),"Check current status + add clear JC comment")))))</x:f>
        <x:v>Escalate to Lindy + agree action plan</x:v>
      </x:c>
      <x:c r="BD79" t="n">
        <x:f>IF(AZ79="YES",6-N79,"")</x:f>
        <x:v>-3</x:v>
      </x:c>
      <x:c r="BE79" t="str">
        <x:f>IF(AY79="YES","Comment must show: date, contact person, method, outcome, next action","")</x:f>
        <x:v>Comment must show: date, contact person, method, outcome, next action</x:v>
      </x:c>
      <x:c r="BF79" t="str">
        <x:f>IF(AND(AY79="YES",O79&gt;=7),"Stuck in status 7+ days","")</x:f>
        <x:v>Stuck in status 7+ days</x:v>
      </x:c>
    </x:row>
    <x:row r="80">
      <x:c r="A80" t="s">
        <x:v>109</x:v>
      </x:c>
      <x:c r="B80" t="s">
        <x:v>1189</x:v>
      </x:c>
      <x:c r="C80" t="s">
        <x:v>1190</x:v>
      </x:c>
      <x:c r="D80" t="s">
        <x:v>1191</x:v>
      </x:c>
      <x:c r="E80" t="s">
        <x:v>54</x:v>
      </x:c>
      <x:c r="F80" t="s">
        <x:v>763</x:v>
      </x:c>
      <x:c r="G80" t="s">
        <x:v>764</x:v>
      </x:c>
      <x:c r="H80" t="s">
        <x:v>54</x:v>
      </x:c>
      <x:c r="I80" t="s">
        <x:v>409</x:v>
      </x:c>
      <x:c r="J80" t="s">
        <x:v>1192</x:v>
      </x:c>
      <x:c r="K80" t="s">
        <x:v>54</x:v>
      </x:c>
      <x:c r="L80" t="s">
        <x:v>1193</x:v>
      </x:c>
      <x:c r="M80" t="s">
        <x:v>1194</x:v>
      </x:c>
      <x:c r="N80">
        <x:v>8</x:v>
      </x:c>
      <x:c r="O80">
        <x:v>7</x:v>
      </x:c>
      <x:c r="P80" t="s">
        <x:v>491</x:v>
      </x:c>
      <x:c r="Q80" t="s">
        <x:v>1195</x:v>
      </x:c>
      <x:c r="R80" t="s">
        <x:v>54</x:v>
      </x:c>
      <x:c r="S80" t="s">
        <x:v>54</x:v>
      </x:c>
      <x:c r="T80" t="s">
        <x:v>54</x:v>
      </x:c>
      <x:c r="U80" t="s">
        <x:v>54</x:v>
      </x:c>
      <x:c r="V80" t="s">
        <x:v>54</x:v>
      </x:c>
      <x:c r="W80" t="s">
        <x:v>54</x:v>
      </x:c>
      <x:c r="X80" t="s">
        <x:v>54</x:v>
      </x:c>
      <x:c r="Y80" t="s">
        <x:v>1196</x:v>
      </x:c>
      <x:c r="Z80" t="s">
        <x:v>1197</x:v>
      </x:c>
      <x:c r="AA80" t="s">
        <x:v>1198</x:v>
      </x:c>
      <x:c r="AB80" t="s">
        <x:v>54</x:v>
      </x:c>
      <x:c r="AC80" t="s">
        <x:v>122</x:v>
      </x:c>
      <x:c r="AD80" t="s">
        <x:v>54</x:v>
      </x:c>
      <x:c r="AE80" t="s">
        <x:v>54</x:v>
      </x:c>
      <x:c r="AF80" t="s">
        <x:v>54</x:v>
      </x:c>
      <x:c r="AG80" t="s">
        <x:v>1199</x:v>
      </x:c>
      <x:c r="AH80" t="s">
        <x:v>54</x:v>
      </x:c>
      <x:c r="AI80" t="s">
        <x:v>54</x:v>
      </x:c>
      <x:c r="AJ80" t="s">
        <x:v>54</x:v>
      </x:c>
      <x:c r="AK80" t="s">
        <x:v>54</x:v>
      </x:c>
      <x:c r="AL80" t="s">
        <x:v>54</x:v>
      </x:c>
      <x:c r="AM80" t="s">
        <x:v>1200</x:v>
      </x:c>
      <x:c r="AN80" t="s">
        <x:v>999</x:v>
      </x:c>
      <x:c r="AO80" t="s">
        <x:v>54</x:v>
      </x:c>
      <x:c r="AP80" t="s">
        <x:v>54</x:v>
      </x:c>
      <x:c r="AQ80" t="b">
        <x:v>0</x:v>
      </x:c>
      <x:c r="AR80" t="s">
        <x:v>498</x:v>
      </x:c>
      <x:c r="AS80" t="s">
        <x:v>54</x:v>
      </x:c>
      <x:c r="AT80" t="s">
        <x:v>73</x:v>
      </x:c>
      <x:c r="AU80" t="s">
        <x:v>1201</x:v>
      </x:c>
      <x:c r="AV80" t="s">
        <x:v>75</x:v>
      </x:c>
      <x:c r="AW80" t="s">
        <x:v>481</x:v>
      </x:c>
      <x:c r="AX80" t="s">
        <x:v>1202</x:v>
      </x:c>
      <x:c r="AY80" t="str">
        <x:f>IF(AND(ISNUMBER(SEARCH("Donovan",AC80)),OR(AT80=TRUE,AT80="TRUE"),OR(AQ80=FALSE,AQ80="FALSE")),"YES","NO")</x:f>
        <x:v>YES</x:v>
      </x:c>
      <x:c r="AZ80" t="str">
        <x:f>IF(AND(AY80="YES",LEFT(I80,2)="FF"),"YES","NO")</x:f>
        <x:v>YES</x:v>
      </x:c>
      <x:c r="BA80" t="str">
        <x:f>IF(AZ80&lt;&gt;"YES","Not FF focus",IF(N80&lt;=2,"0-2 Remote Window",IF(N80&lt;=5,"3-5 Client Follow-up",IF(N80=6,"Day 6 Escalate","7+ Overdue"))))</x:f>
        <x:v>7+ Overdue</x:v>
      </x:c>
      <x:c r="BB80" t="str">
        <x:f>IF(AZ80&lt;&gt;"YES","Excluded",IF(N80&lt;=2,"On Track",IF(N80&lt;=5,"Warning",IF(N80=6,"Escalate Today","Overdue"))))</x:f>
        <x:v>Overdue</x:v>
      </x:c>
      <x:c r="BC80" t="str">
        <x:f>IF(AY80&lt;&gt;"YES","",IF(ISNUMBER(SEARCH("Quote Sent",P80)),"Follow up quote approval weekly + add JC comment",IF(ISNUMBER(SEARCH("Awaiting install",P80)),"Confirm install date/ETA + update JC",IF(ISNUMBER(SEARCH("Schedule",P80)),"Schedule/confirm tech action",IF(AZ80="YES",IF(N80&lt;=2,"Troubleshoot remotely + comment evidence",IF(N80&lt;=5,"Email/call client + record who/when/outcome","Escalate to Lindy + agree action plan")),"Check current status + add clear JC comment")))))</x:f>
        <x:v>Escalate to Lindy + agree action plan</x:v>
      </x:c>
      <x:c r="BD80" t="n">
        <x:f>IF(AZ80="YES",6-N80,"")</x:f>
        <x:v>-2</x:v>
      </x:c>
      <x:c r="BE80" t="str">
        <x:f>IF(AY80="YES","Comment must show: date, contact person, method, outcome, next action","")</x:f>
        <x:v>Comment must show: date, contact person, method, outcome, next action</x:v>
      </x:c>
      <x:c r="BF80" t="str">
        <x:f>IF(AND(AY80="YES",O80&gt;=7),"Stuck in status 7+ days","")</x:f>
        <x:v>Stuck in status 7+ days</x:v>
      </x:c>
    </x:row>
    <x:row r="81">
      <x:c r="A81" t="s">
        <x:v>109</x:v>
      </x:c>
      <x:c r="B81" t="s">
        <x:v>1203</x:v>
      </x:c>
      <x:c r="C81" t="s">
        <x:v>1204</x:v>
      </x:c>
      <x:c r="D81" t="s">
        <x:v>1205</x:v>
      </x:c>
      <x:c r="E81" t="s">
        <x:v>54</x:v>
      </x:c>
      <x:c r="F81" t="s">
        <x:v>1206</x:v>
      </x:c>
      <x:c r="G81" t="s">
        <x:v>1207</x:v>
      </x:c>
      <x:c r="H81" t="s">
        <x:v>54</x:v>
      </x:c>
      <x:c r="I81" t="s">
        <x:v>142</x:v>
      </x:c>
      <x:c r="J81" t="s">
        <x:v>1208</x:v>
      </x:c>
      <x:c r="K81" t="s">
        <x:v>54</x:v>
      </x:c>
      <x:c r="L81" t="s">
        <x:v>1209</x:v>
      </x:c>
      <x:c r="M81" t="s">
        <x:v>1210</x:v>
      </x:c>
      <x:c r="N81">
        <x:v>7</x:v>
      </x:c>
      <x:c r="O81">
        <x:v>6</x:v>
      </x:c>
      <x:c r="P81" t="s">
        <x:v>507</x:v>
      </x:c>
      <x:c r="Q81" t="s">
        <x:v>1211</x:v>
      </x:c>
      <x:c r="R81" t="s">
        <x:v>54</x:v>
      </x:c>
      <x:c r="S81" t="s">
        <x:v>54</x:v>
      </x:c>
      <x:c r="T81" t="s">
        <x:v>54</x:v>
      </x:c>
      <x:c r="U81" t="s">
        <x:v>54</x:v>
      </x:c>
      <x:c r="V81" t="s">
        <x:v>54</x:v>
      </x:c>
      <x:c r="W81" t="s">
        <x:v>54</x:v>
      </x:c>
      <x:c r="X81" t="s">
        <x:v>54</x:v>
      </x:c>
      <x:c r="Y81" t="s">
        <x:v>54</x:v>
      </x:c>
      <x:c r="Z81" t="s">
        <x:v>54</x:v>
      </x:c>
      <x:c r="AA81" t="s">
        <x:v>54</x:v>
      </x:c>
      <x:c r="AB81" t="s">
        <x:v>54</x:v>
      </x:c>
      <x:c r="AC81" t="s">
        <x:v>166</x:v>
      </x:c>
      <x:c r="AD81" t="s">
        <x:v>54</x:v>
      </x:c>
      <x:c r="AE81" t="s">
        <x:v>54</x:v>
      </x:c>
      <x:c r="AF81" t="s">
        <x:v>54</x:v>
      </x:c>
      <x:c r="AG81" t="s">
        <x:v>54</x:v>
      </x:c>
      <x:c r="AH81" t="s">
        <x:v>54</x:v>
      </x:c>
      <x:c r="AI81" t="s">
        <x:v>54</x:v>
      </x:c>
      <x:c r="AJ81" t="s">
        <x:v>54</x:v>
      </x:c>
      <x:c r="AK81" t="s">
        <x:v>54</x:v>
      </x:c>
      <x:c r="AL81" t="s">
        <x:v>54</x:v>
      </x:c>
      <x:c r="AM81" t="s">
        <x:v>54</x:v>
      </x:c>
      <x:c r="AN81" t="s">
        <x:v>54</x:v>
      </x:c>
      <x:c r="AO81" t="s">
        <x:v>54</x:v>
      </x:c>
      <x:c r="AP81" t="s">
        <x:v>54</x:v>
      </x:c>
      <x:c r="AQ81" t="b">
        <x:v>0</x:v>
      </x:c>
      <x:c r="AR81" t="s">
        <x:v>1212</x:v>
      </x:c>
      <x:c r="AS81" t="s">
        <x:v>54</x:v>
      </x:c>
      <x:c r="AT81" t="s">
        <x:v>73</x:v>
      </x:c>
      <x:c r="AU81" t="s">
        <x:v>1213</x:v>
      </x:c>
      <x:c r="AV81" t="s">
        <x:v>88</x:v>
      </x:c>
      <x:c r="AW81" t="s">
        <x:v>516</x:v>
      </x:c>
      <x:c r="AX81" t="s">
        <x:v>1211</x:v>
      </x:c>
      <x:c r="AY81" t="str">
        <x:f>IF(AND(ISNUMBER(SEARCH("Donovan",AC81)),OR(AT81=TRUE,AT81="TRUE"),OR(AQ81=FALSE,AQ81="FALSE")),"YES","NO")</x:f>
        <x:v>YES</x:v>
      </x:c>
      <x:c r="AZ81" t="str">
        <x:f>IF(AND(AY81="YES",LEFT(I81,2)="FF"),"YES","NO")</x:f>
        <x:v>NO</x:v>
      </x:c>
      <x:c r="BA81" t="str">
        <x:f>IF(AZ81&lt;&gt;"YES","Not FF focus",IF(N81&lt;=2,"0-2 Remote Window",IF(N81&lt;=5,"3-5 Client Follow-up",IF(N81=6,"Day 6 Escalate","7+ Overdue"))))</x:f>
        <x:v>Not FF focus</x:v>
      </x:c>
      <x:c r="BB81" t="str">
        <x:f>IF(AZ81&lt;&gt;"YES","Excluded",IF(N81&lt;=2,"On Track",IF(N81&lt;=5,"Warning",IF(N81=6,"Escalate Today","Overdue"))))</x:f>
        <x:v>Excluded</x:v>
      </x:c>
      <x:c r="BC81" t="str">
        <x:f>IF(AY81&lt;&gt;"YES","",IF(ISNUMBER(SEARCH("Quote Sent",P81)),"Follow up quote approval weekly + add JC comment",IF(ISNUMBER(SEARCH("Awaiting install",P81)),"Confirm install date/ETA + update JC",IF(ISNUMBER(SEARCH("Schedule",P81)),"Schedule/confirm tech action",IF(AZ81="YES",IF(N81&lt;=2,"Troubleshoot remotely + comment evidence",IF(N81&lt;=5,"Email/call client + record who/when/outcome","Escalate to Lindy + agree action plan")),"Check current status + add clear JC comment")))))</x:f>
        <x:v>Check current status + add clear JC comment</x:v>
      </x:c>
      <x:c r="BD81" t="str">
        <x:f>IF(AZ81="YES",6-N81,"")</x:f>
      </x:c>
      <x:c r="BE81" t="str">
        <x:f>IF(AY81="YES","Comment must show: date, contact person, method, outcome, next action","")</x:f>
        <x:v>Comment must show: date, contact person, method, outcome, next action</x:v>
      </x:c>
      <x:c r="BF81" t="str">
        <x:f>IF(AND(AY81="YES",O81&gt;=7),"Stuck in status 7+ days","")</x:f>
      </x:c>
    </x:row>
    <x:row r="82">
      <x:c r="A82" t="s">
        <x:v>109</x:v>
      </x:c>
      <x:c r="B82" t="s">
        <x:v>1214</x:v>
      </x:c>
      <x:c r="C82" t="s">
        <x:v>91</x:v>
      </x:c>
      <x:c r="D82" t="s">
        <x:v>92</x:v>
      </x:c>
      <x:c r="E82" t="s">
        <x:v>54</x:v>
      </x:c>
      <x:c r="F82" t="s">
        <x:v>93</x:v>
      </x:c>
      <x:c r="G82" t="s">
        <x:v>94</x:v>
      </x:c>
      <x:c r="H82" t="s">
        <x:v>54</x:v>
      </x:c>
      <x:c r="I82" t="s">
        <x:v>522</x:v>
      </x:c>
      <x:c r="J82" t="s">
        <x:v>1215</x:v>
      </x:c>
      <x:c r="K82" t="s">
        <x:v>54</x:v>
      </x:c>
      <x:c r="L82" t="s">
        <x:v>1216</x:v>
      </x:c>
      <x:c r="M82" t="s">
        <x:v>1217</x:v>
      </x:c>
      <x:c r="N82">
        <x:v>6</x:v>
      </x:c>
      <x:c r="O82">
        <x:v>6</x:v>
      </x:c>
      <x:c r="P82" t="s">
        <x:v>99</x:v>
      </x:c>
      <x:c r="Q82" t="s">
        <x:v>1218</x:v>
      </x:c>
      <x:c r="R82" t="s">
        <x:v>54</x:v>
      </x:c>
      <x:c r="S82" t="s">
        <x:v>54</x:v>
      </x:c>
      <x:c r="T82" t="s">
        <x:v>54</x:v>
      </x:c>
      <x:c r="U82" t="s">
        <x:v>54</x:v>
      </x:c>
      <x:c r="V82" t="s">
        <x:v>54</x:v>
      </x:c>
      <x:c r="W82" t="s">
        <x:v>54</x:v>
      </x:c>
      <x:c r="X82" t="s">
        <x:v>54</x:v>
      </x:c>
      <x:c r="Y82" t="s">
        <x:v>1219</x:v>
      </x:c>
      <x:c r="Z82" t="s">
        <x:v>1220</x:v>
      </x:c>
      <x:c r="AA82" t="s">
        <x:v>1221</x:v>
      </x:c>
      <x:c r="AB82" t="s">
        <x:v>54</x:v>
      </x:c>
      <x:c r="AC82" t="s">
        <x:v>68</x:v>
      </x:c>
      <x:c r="AD82" t="s">
        <x:v>54</x:v>
      </x:c>
      <x:c r="AE82" t="s">
        <x:v>54</x:v>
      </x:c>
      <x:c r="AF82" t="s">
        <x:v>54</x:v>
      </x:c>
      <x:c r="AG82" t="s">
        <x:v>1222</x:v>
      </x:c>
      <x:c r="AH82" t="s">
        <x:v>54</x:v>
      </x:c>
      <x:c r="AI82" t="s">
        <x:v>54</x:v>
      </x:c>
      <x:c r="AJ82" t="s">
        <x:v>54</x:v>
      </x:c>
      <x:c r="AK82" t="s">
        <x:v>54</x:v>
      </x:c>
      <x:c r="AL82" t="s">
        <x:v>54</x:v>
      </x:c>
      <x:c r="AM82" t="s">
        <x:v>238</x:v>
      </x:c>
      <x:c r="AN82" t="s">
        <x:v>1223</x:v>
      </x:c>
      <x:c r="AO82" t="s">
        <x:v>54</x:v>
      </x:c>
      <x:c r="AP82" t="s">
        <x:v>54</x:v>
      </x:c>
      <x:c r="AQ82" t="b">
        <x:v>0</x:v>
      </x:c>
      <x:c r="AR82" t="s">
        <x:v>792</x:v>
      </x:c>
      <x:c r="AS82" t="s">
        <x:v>54</x:v>
      </x:c>
      <x:c r="AT82" t="s">
        <x:v>73</x:v>
      </x:c>
      <x:c r="AU82" t="s">
        <x:v>1224</x:v>
      </x:c>
      <x:c r="AV82" t="s">
        <x:v>75</x:v>
      </x:c>
      <x:c r="AW82" t="s">
        <x:v>88</x:v>
      </x:c>
      <x:c r="AX82" t="s">
        <x:v>1218</x:v>
      </x:c>
      <x:c r="AY82" t="str">
        <x:f>IF(AND(ISNUMBER(SEARCH("Donovan",AC82)),OR(AT82=TRUE,AT82="TRUE"),OR(AQ82=FALSE,AQ82="FALSE")),"YES","NO")</x:f>
        <x:v>YES</x:v>
      </x:c>
      <x:c r="AZ82" t="str">
        <x:f>IF(AND(AY82="YES",LEFT(I82,2)="FF"),"YES","NO")</x:f>
        <x:v>YES</x:v>
      </x:c>
      <x:c r="BA82" t="str">
        <x:f>IF(AZ82&lt;&gt;"YES","Not FF focus",IF(N82&lt;=2,"0-2 Remote Window",IF(N82&lt;=5,"3-5 Client Follow-up",IF(N82=6,"Day 6 Escalate","7+ Overdue"))))</x:f>
        <x:v>Day 6 Escalate</x:v>
      </x:c>
      <x:c r="BB82" t="str">
        <x:f>IF(AZ82&lt;&gt;"YES","Excluded",IF(N82&lt;=2,"On Track",IF(N82&lt;=5,"Warning",IF(N82=6,"Escalate Today","Overdue"))))</x:f>
        <x:v>Escalate Today</x:v>
      </x:c>
      <x:c r="BC82" t="str">
        <x:f>IF(AY82&lt;&gt;"YES","",IF(ISNUMBER(SEARCH("Quote Sent",P82)),"Follow up quote approval weekly + add JC comment",IF(ISNUMBER(SEARCH("Awaiting install",P82)),"Confirm install date/ETA + update JC",IF(ISNUMBER(SEARCH("Schedule",P82)),"Schedule/confirm tech action",IF(AZ82="YES",IF(N82&lt;=2,"Troubleshoot remotely + comment evidence",IF(N82&lt;=5,"Email/call client + record who/when/outcome","Escalate to Lindy + agree action plan")),"Check current status + add clear JC comment")))))</x:f>
        <x:v>Schedule/confirm tech action</x:v>
      </x:c>
      <x:c r="BD82" t="n">
        <x:f>IF(AZ82="YES",6-N82,"")</x:f>
        <x:v>0</x:v>
      </x:c>
      <x:c r="BE82" t="str">
        <x:f>IF(AY82="YES","Comment must show: date, contact person, method, outcome, next action","")</x:f>
        <x:v>Comment must show: date, contact person, method, outcome, next action</x:v>
      </x:c>
      <x:c r="BF82" t="str">
        <x:f>IF(AND(AY82="YES",O82&gt;=7),"Stuck in status 7+ days","")</x:f>
      </x:c>
    </x:row>
    <x:row r="83">
      <x:c r="A83" t="s">
        <x:v>109</x:v>
      </x:c>
      <x:c r="B83" t="s">
        <x:v>1225</x:v>
      </x:c>
      <x:c r="C83" t="s">
        <x:v>1226</x:v>
      </x:c>
      <x:c r="D83" t="s">
        <x:v>1227</x:v>
      </x:c>
      <x:c r="E83" t="s">
        <x:v>54</x:v>
      </x:c>
      <x:c r="F83" t="s">
        <x:v>1228</x:v>
      </x:c>
      <x:c r="G83" t="s">
        <x:v>1229</x:v>
      </x:c>
      <x:c r="H83" t="s">
        <x:v>1230</x:v>
      </x:c>
      <x:c r="I83" t="s">
        <x:v>115</x:v>
      </x:c>
      <x:c r="J83" t="s">
        <x:v>1231</x:v>
      </x:c>
      <x:c r="K83" t="s">
        <x:v>54</x:v>
      </x:c>
      <x:c r="L83" t="s">
        <x:v>1232</x:v>
      </x:c>
      <x:c r="M83" t="s">
        <x:v>1233</x:v>
      </x:c>
      <x:c r="N83">
        <x:v>6</x:v>
      </x:c>
      <x:c r="O83">
        <x:v>6</x:v>
      </x:c>
      <x:c r="P83" t="s">
        <x:v>1132</x:v>
      </x:c>
      <x:c r="Q83" t="s">
        <x:v>1234</x:v>
      </x:c>
      <x:c r="R83" t="s">
        <x:v>54</x:v>
      </x:c>
      <x:c r="S83" t="s">
        <x:v>54</x:v>
      </x:c>
      <x:c r="T83" t="s">
        <x:v>54</x:v>
      </x:c>
      <x:c r="U83" t="s">
        <x:v>54</x:v>
      </x:c>
      <x:c r="V83" t="s">
        <x:v>54</x:v>
      </x:c>
      <x:c r="W83" t="s">
        <x:v>54</x:v>
      </x:c>
      <x:c r="X83" t="s">
        <x:v>54</x:v>
      </x:c>
      <x:c r="Y83" t="s">
        <x:v>54</x:v>
      </x:c>
      <x:c r="Z83" t="s">
        <x:v>54</x:v>
      </x:c>
      <x:c r="AA83" t="s">
        <x:v>54</x:v>
      </x:c>
      <x:c r="AB83" t="s">
        <x:v>54</x:v>
      </x:c>
      <x:c r="AC83" t="s">
        <x:v>193</x:v>
      </x:c>
      <x:c r="AD83" t="s">
        <x:v>54</x:v>
      </x:c>
      <x:c r="AE83" t="s">
        <x:v>54</x:v>
      </x:c>
      <x:c r="AF83" t="s">
        <x:v>54</x:v>
      </x:c>
      <x:c r="AG83" t="s">
        <x:v>54</x:v>
      </x:c>
      <x:c r="AH83" t="s">
        <x:v>54</x:v>
      </x:c>
      <x:c r="AI83" t="s">
        <x:v>54</x:v>
      </x:c>
      <x:c r="AJ83" t="s">
        <x:v>54</x:v>
      </x:c>
      <x:c r="AK83" t="s">
        <x:v>54</x:v>
      </x:c>
      <x:c r="AL83" t="s">
        <x:v>54</x:v>
      </x:c>
      <x:c r="AM83" t="s">
        <x:v>54</x:v>
      </x:c>
      <x:c r="AN83" t="s">
        <x:v>54</x:v>
      </x:c>
      <x:c r="AO83" t="s">
        <x:v>54</x:v>
      </x:c>
      <x:c r="AP83" t="s">
        <x:v>54</x:v>
      </x:c>
      <x:c r="AQ83" t="b">
        <x:v>0</x:v>
      </x:c>
      <x:c r="AR83" t="s">
        <x:v>1235</x:v>
      </x:c>
      <x:c r="AS83" t="s">
        <x:v>54</x:v>
      </x:c>
      <x:c r="AT83" t="s">
        <x:v>73</x:v>
      </x:c>
      <x:c r="AU83" t="s">
        <x:v>1236</x:v>
      </x:c>
      <x:c r="AV83" t="s">
        <x:v>422</x:v>
      </x:c>
      <x:c r="AW83" t="s">
        <x:v>422</x:v>
      </x:c>
      <x:c r="AX83" t="s">
        <x:v>1234</x:v>
      </x:c>
      <x:c r="AY83" t="str">
        <x:f>IF(AND(ISNUMBER(SEARCH("Donovan",AC83)),OR(AT83=TRUE,AT83="TRUE"),OR(AQ83=FALSE,AQ83="FALSE")),"YES","NO")</x:f>
        <x:v>YES</x:v>
      </x:c>
      <x:c r="AZ83" t="str">
        <x:f>IF(AND(AY83="YES",LEFT(I83,2)="FF"),"YES","NO")</x:f>
        <x:v>NO</x:v>
      </x:c>
      <x:c r="BA83" t="str">
        <x:f>IF(AZ83&lt;&gt;"YES","Not FF focus",IF(N83&lt;=2,"0-2 Remote Window",IF(N83&lt;=5,"3-5 Client Follow-up",IF(N83=6,"Day 6 Escalate","7+ Overdue"))))</x:f>
        <x:v>Not FF focus</x:v>
      </x:c>
      <x:c r="BB83" t="str">
        <x:f>IF(AZ83&lt;&gt;"YES","Excluded",IF(N83&lt;=2,"On Track",IF(N83&lt;=5,"Warning",IF(N83=6,"Escalate Today","Overdue"))))</x:f>
        <x:v>Excluded</x:v>
      </x:c>
      <x:c r="BC83" t="str">
        <x:f>IF(AY83&lt;&gt;"YES","",IF(ISNUMBER(SEARCH("Quote Sent",P83)),"Follow up quote approval weekly + add JC comment",IF(ISNUMBER(SEARCH("Awaiting install",P83)),"Confirm install date/ETA + update JC",IF(ISNUMBER(SEARCH("Schedule",P83)),"Schedule/confirm tech action",IF(AZ83="YES",IF(N83&lt;=2,"Troubleshoot remotely + comment evidence",IF(N83&lt;=5,"Email/call client + record who/when/outcome","Escalate to Lindy + agree action plan")),"Check current status + add clear JC comment")))))</x:f>
        <x:v>Check current status + add clear JC comment</x:v>
      </x:c>
      <x:c r="BD83" t="str">
        <x:f>IF(AZ83="YES",6-N83,"")</x:f>
      </x:c>
      <x:c r="BE83" t="str">
        <x:f>IF(AY83="YES","Comment must show: date, contact person, method, outcome, next action","")</x:f>
        <x:v>Comment must show: date, contact person, method, outcome, next action</x:v>
      </x:c>
      <x:c r="BF83" t="str">
        <x:f>IF(AND(AY83="YES",O83&gt;=7),"Stuck in status 7+ days","")</x:f>
      </x:c>
    </x:row>
    <x:row r="84">
      <x:c r="A84" t="s">
        <x:v>109</x:v>
      </x:c>
      <x:c r="B84" t="s">
        <x:v>1237</x:v>
      </x:c>
      <x:c r="C84" t="s">
        <x:v>1238</x:v>
      </x:c>
      <x:c r="D84" t="s">
        <x:v>1239</x:v>
      </x:c>
      <x:c r="E84" t="s">
        <x:v>54</x:v>
      </x:c>
      <x:c r="F84" t="s">
        <x:v>1240</x:v>
      </x:c>
      <x:c r="G84" t="s">
        <x:v>1241</x:v>
      </x:c>
      <x:c r="H84" t="s">
        <x:v>1242</x:v>
      </x:c>
      <x:c r="I84" t="s">
        <x:v>409</x:v>
      </x:c>
      <x:c r="J84" t="s">
        <x:v>1243</x:v>
      </x:c>
      <x:c r="K84" t="s">
        <x:v>54</x:v>
      </x:c>
      <x:c r="L84" t="s">
        <x:v>1244</x:v>
      </x:c>
      <x:c r="M84" t="s">
        <x:v>1245</x:v>
      </x:c>
      <x:c r="N84">
        <x:v>2</x:v>
      </x:c>
      <x:c r="O84">
        <x:v>1</x:v>
      </x:c>
      <x:c r="P84" t="s">
        <x:v>491</x:v>
      </x:c>
      <x:c r="Q84" t="s">
        <x:v>1246</x:v>
      </x:c>
      <x:c r="R84" t="s">
        <x:v>54</x:v>
      </x:c>
      <x:c r="S84" t="s">
        <x:v>54</x:v>
      </x:c>
      <x:c r="T84" t="s">
        <x:v>54</x:v>
      </x:c>
      <x:c r="U84" t="s">
        <x:v>54</x:v>
      </x:c>
      <x:c r="V84" t="s">
        <x:v>54</x:v>
      </x:c>
      <x:c r="W84" t="s">
        <x:v>54</x:v>
      </x:c>
      <x:c r="X84" t="s">
        <x:v>54</x:v>
      </x:c>
      <x:c r="Y84" t="s">
        <x:v>1247</x:v>
      </x:c>
      <x:c r="Z84" t="s">
        <x:v>1248</x:v>
      </x:c>
      <x:c r="AA84" t="s">
        <x:v>1249</x:v>
      </x:c>
      <x:c r="AB84" t="s">
        <x:v>54</x:v>
      </x:c>
      <x:c r="AC84" t="s">
        <x:v>68</x:v>
      </x:c>
      <x:c r="AD84" t="s">
        <x:v>54</x:v>
      </x:c>
      <x:c r="AE84" t="s">
        <x:v>54</x:v>
      </x:c>
      <x:c r="AF84" t="s">
        <x:v>54</x:v>
      </x:c>
      <x:c r="AG84" t="s">
        <x:v>1250</x:v>
      </x:c>
      <x:c r="AH84" t="s">
        <x:v>54</x:v>
      </x:c>
      <x:c r="AI84" t="s">
        <x:v>54</x:v>
      </x:c>
      <x:c r="AJ84" t="s">
        <x:v>54</x:v>
      </x:c>
      <x:c r="AK84" t="s">
        <x:v>54</x:v>
      </x:c>
      <x:c r="AL84" t="s">
        <x:v>54</x:v>
      </x:c>
      <x:c r="AM84" t="s">
        <x:v>1251</x:v>
      </x:c>
      <x:c r="AN84" t="s">
        <x:v>597</x:v>
      </x:c>
      <x:c r="AO84" t="s">
        <x:v>54</x:v>
      </x:c>
      <x:c r="AP84" t="s">
        <x:v>54</x:v>
      </x:c>
      <x:c r="AQ84" t="b">
        <x:v>0</x:v>
      </x:c>
      <x:c r="AR84" t="s">
        <x:v>498</x:v>
      </x:c>
      <x:c r="AS84" t="s">
        <x:v>54</x:v>
      </x:c>
      <x:c r="AT84" t="s">
        <x:v>73</x:v>
      </x:c>
      <x:c r="AU84" t="s">
        <x:v>1245</x:v>
      </x:c>
      <x:c r="AV84" t="s">
        <x:v>75</x:v>
      </x:c>
      <x:c r="AW84" t="s">
        <x:v>88</x:v>
      </x:c>
      <x:c r="AX84" t="s">
        <x:v>1246</x:v>
      </x:c>
      <x:c r="AY84" t="str">
        <x:f>IF(AND(ISNUMBER(SEARCH("Donovan",AC84)),OR(AT84=TRUE,AT84="TRUE"),OR(AQ84=FALSE,AQ84="FALSE")),"YES","NO")</x:f>
        <x:v>YES</x:v>
      </x:c>
      <x:c r="AZ84" t="str">
        <x:f>IF(AND(AY84="YES",LEFT(I84,2)="FF"),"YES","NO")</x:f>
        <x:v>YES</x:v>
      </x:c>
      <x:c r="BA84" t="str">
        <x:f>IF(AZ84&lt;&gt;"YES","Not FF focus",IF(N84&lt;=2,"0-2 Remote Window",IF(N84&lt;=5,"3-5 Client Follow-up",IF(N84=6,"Day 6 Escalate","7+ Overdue"))))</x:f>
        <x:v>0-2 Remote Window</x:v>
      </x:c>
      <x:c r="BB84" t="str">
        <x:f>IF(AZ84&lt;&gt;"YES","Excluded",IF(N84&lt;=2,"On Track",IF(N84&lt;=5,"Warning",IF(N84=6,"Escalate Today","Overdue"))))</x:f>
        <x:v>On Track</x:v>
      </x:c>
      <x:c r="BC84" t="str">
        <x:f>IF(AY84&lt;&gt;"YES","",IF(ISNUMBER(SEARCH("Quote Sent",P84)),"Follow up quote approval weekly + add JC comment",IF(ISNUMBER(SEARCH("Awaiting install",P84)),"Confirm install date/ETA + update JC",IF(ISNUMBER(SEARCH("Schedule",P84)),"Schedule/confirm tech action",IF(AZ84="YES",IF(N84&lt;=2,"Troubleshoot remotely + comment evidence",IF(N84&lt;=5,"Email/call client + record who/when/outcome","Escalate to Lindy + agree action plan")),"Check current status + add clear JC comment")))))</x:f>
        <x:v>Troubleshoot remotely + comment evidence</x:v>
      </x:c>
      <x:c r="BD84" t="n">
        <x:f>IF(AZ84="YES",6-N84,"")</x:f>
        <x:v>4</x:v>
      </x:c>
      <x:c r="BE84" t="str">
        <x:f>IF(AY84="YES","Comment must show: date, contact person, method, outcome, next action","")</x:f>
        <x:v>Comment must show: date, contact person, method, outcome, next action</x:v>
      </x:c>
      <x:c r="BF84" t="str">
        <x:f>IF(AND(AY84="YES",O84&gt;=7),"Stuck in status 7+ days","")</x:f>
      </x:c>
    </x:row>
    <x:row r="85">
      <x:c r="A85" t="s">
        <x:v>109</x:v>
      </x:c>
      <x:c r="B85" t="s">
        <x:v>1252</x:v>
      </x:c>
      <x:c r="C85" t="s">
        <x:v>1253</x:v>
      </x:c>
      <x:c r="D85" t="s">
        <x:v>1254</x:v>
      </x:c>
      <x:c r="E85" t="s">
        <x:v>54</x:v>
      </x:c>
      <x:c r="F85" t="s">
        <x:v>284</x:v>
      </x:c>
      <x:c r="G85" t="s">
        <x:v>285</x:v>
      </x:c>
      <x:c r="H85" t="s">
        <x:v>54</x:v>
      </x:c>
      <x:c r="I85" t="s">
        <x:v>409</x:v>
      </x:c>
      <x:c r="J85" t="s">
        <x:v>1255</x:v>
      </x:c>
      <x:c r="K85" t="s">
        <x:v>54</x:v>
      </x:c>
      <x:c r="L85" t="s">
        <x:v>1256</x:v>
      </x:c>
      <x:c r="M85" t="s">
        <x:v>1257</x:v>
      </x:c>
      <x:c r="N85">
        <x:v>2</x:v>
      </x:c>
      <x:c r="O85">
        <x:v>1</x:v>
      </x:c>
      <x:c r="P85" t="s">
        <x:v>491</x:v>
      </x:c>
      <x:c r="Q85" t="s">
        <x:v>1258</x:v>
      </x:c>
      <x:c r="R85" t="s">
        <x:v>54</x:v>
      </x:c>
      <x:c r="S85" t="s">
        <x:v>54</x:v>
      </x:c>
      <x:c r="T85" t="s">
        <x:v>54</x:v>
      </x:c>
      <x:c r="U85" t="s">
        <x:v>54</x:v>
      </x:c>
      <x:c r="V85" t="s">
        <x:v>54</x:v>
      </x:c>
      <x:c r="W85" t="s">
        <x:v>54</x:v>
      </x:c>
      <x:c r="X85" t="s">
        <x:v>54</x:v>
      </x:c>
      <x:c r="Y85" t="s">
        <x:v>1259</x:v>
      </x:c>
      <x:c r="Z85" t="s">
        <x:v>379</x:v>
      </x:c>
      <x:c r="AA85" t="s">
        <x:v>1260</x:v>
      </x:c>
      <x:c r="AB85" t="s">
        <x:v>54</x:v>
      </x:c>
      <x:c r="AC85" t="s">
        <x:v>68</x:v>
      </x:c>
      <x:c r="AD85" t="s">
        <x:v>54</x:v>
      </x:c>
      <x:c r="AE85" t="s">
        <x:v>54</x:v>
      </x:c>
      <x:c r="AF85" t="s">
        <x:v>54</x:v>
      </x:c>
      <x:c r="AG85" t="s">
        <x:v>1261</x:v>
      </x:c>
      <x:c r="AH85" t="s">
        <x:v>54</x:v>
      </x:c>
      <x:c r="AI85" t="s">
        <x:v>54</x:v>
      </x:c>
      <x:c r="AJ85" t="s">
        <x:v>54</x:v>
      </x:c>
      <x:c r="AK85" t="s">
        <x:v>54</x:v>
      </x:c>
      <x:c r="AL85" t="s">
        <x:v>54</x:v>
      </x:c>
      <x:c r="AM85" t="s">
        <x:v>1251</x:v>
      </x:c>
      <x:c r="AN85" t="s">
        <x:v>597</x:v>
      </x:c>
      <x:c r="AO85" t="s">
        <x:v>54</x:v>
      </x:c>
      <x:c r="AP85" t="s">
        <x:v>54</x:v>
      </x:c>
      <x:c r="AQ85" t="b">
        <x:v>0</x:v>
      </x:c>
      <x:c r="AR85" t="s">
        <x:v>498</x:v>
      </x:c>
      <x:c r="AS85" t="s">
        <x:v>54</x:v>
      </x:c>
      <x:c r="AT85" t="s">
        <x:v>73</x:v>
      </x:c>
      <x:c r="AU85" t="s">
        <x:v>1262</x:v>
      </x:c>
      <x:c r="AV85" t="s">
        <x:v>75</x:v>
      </x:c>
      <x:c r="AW85" t="s">
        <x:v>88</x:v>
      </x:c>
      <x:c r="AX85" t="s">
        <x:v>1258</x:v>
      </x:c>
      <x:c r="AY85" t="str">
        <x:f>IF(AND(ISNUMBER(SEARCH("Donovan",AC85)),OR(AT85=TRUE,AT85="TRUE"),OR(AQ85=FALSE,AQ85="FALSE")),"YES","NO")</x:f>
        <x:v>YES</x:v>
      </x:c>
      <x:c r="AZ85" t="str">
        <x:f>IF(AND(AY85="YES",LEFT(I85,2)="FF"),"YES","NO")</x:f>
        <x:v>YES</x:v>
      </x:c>
      <x:c r="BA85" t="str">
        <x:f>IF(AZ85&lt;&gt;"YES","Not FF focus",IF(N85&lt;=2,"0-2 Remote Window",IF(N85&lt;=5,"3-5 Client Follow-up",IF(N85=6,"Day 6 Escalate","7+ Overdue"))))</x:f>
        <x:v>0-2 Remote Window</x:v>
      </x:c>
      <x:c r="BB85" t="str">
        <x:f>IF(AZ85&lt;&gt;"YES","Excluded",IF(N85&lt;=2,"On Track",IF(N85&lt;=5,"Warning",IF(N85=6,"Escalate Today","Overdue"))))</x:f>
        <x:v>On Track</x:v>
      </x:c>
      <x:c r="BC85" t="str">
        <x:f>IF(AY85&lt;&gt;"YES","",IF(ISNUMBER(SEARCH("Quote Sent",P85)),"Follow up quote approval weekly + add JC comment",IF(ISNUMBER(SEARCH("Awaiting install",P85)),"Confirm install date/ETA + update JC",IF(ISNUMBER(SEARCH("Schedule",P85)),"Schedule/confirm tech action",IF(AZ85="YES",IF(N85&lt;=2,"Troubleshoot remotely + comment evidence",IF(N85&lt;=5,"Email/call client + record who/when/outcome","Escalate to Lindy + agree action plan")),"Check current status + add clear JC comment")))))</x:f>
        <x:v>Troubleshoot remotely + comment evidence</x:v>
      </x:c>
      <x:c r="BD85" t="n">
        <x:f>IF(AZ85="YES",6-N85,"")</x:f>
        <x:v>4</x:v>
      </x:c>
      <x:c r="BE85" t="str">
        <x:f>IF(AY85="YES","Comment must show: date, contact person, method, outcome, next action","")</x:f>
        <x:v>Comment must show: date, contact person, method, outcome, next action</x:v>
      </x:c>
      <x:c r="BF85" t="str">
        <x:f>IF(AND(AY85="YES",O85&gt;=7),"Stuck in status 7+ days","")</x:f>
      </x:c>
    </x:row>
    <x:row r="86">
      <x:c r="A86" t="s">
        <x:v>109</x:v>
      </x:c>
      <x:c r="B86" t="s">
        <x:v>1263</x:v>
      </x:c>
      <x:c r="C86" t="s">
        <x:v>1264</x:v>
      </x:c>
      <x:c r="D86" t="s">
        <x:v>1265</x:v>
      </x:c>
      <x:c r="E86" t="s">
        <x:v>54</x:v>
      </x:c>
      <x:c r="F86" t="s">
        <x:v>840</x:v>
      </x:c>
      <x:c r="G86" t="s">
        <x:v>1266</x:v>
      </x:c>
      <x:c r="H86" t="s">
        <x:v>842</x:v>
      </x:c>
      <x:c r="I86" t="s">
        <x:v>95</x:v>
      </x:c>
      <x:c r="J86" t="s">
        <x:v>1267</x:v>
      </x:c>
      <x:c r="K86" t="s">
        <x:v>54</x:v>
      </x:c>
      <x:c r="L86" t="s">
        <x:v>1268</x:v>
      </x:c>
      <x:c r="M86" t="s">
        <x:v>1269</x:v>
      </x:c>
      <x:c r="N86">
        <x:v>0</x:v>
      </x:c>
      <x:c r="O86">
        <x:v>0</x:v>
      </x:c>
      <x:c r="P86" t="s">
        <x:v>1270</x:v>
      </x:c>
      <x:c r="Q86" t="s">
        <x:v>1271</x:v>
      </x:c>
      <x:c r="R86" t="s">
        <x:v>54</x:v>
      </x:c>
      <x:c r="S86" t="s">
        <x:v>54</x:v>
      </x:c>
      <x:c r="T86" t="s">
        <x:v>54</x:v>
      </x:c>
      <x:c r="U86" t="s">
        <x:v>54</x:v>
      </x:c>
      <x:c r="V86" t="s">
        <x:v>54</x:v>
      </x:c>
      <x:c r="W86" t="s">
        <x:v>54</x:v>
      </x:c>
      <x:c r="X86" t="s">
        <x:v>54</x:v>
      </x:c>
      <x:c r="Y86" t="s">
        <x:v>1272</x:v>
      </x:c>
      <x:c r="Z86" t="s">
        <x:v>1104</x:v>
      </x:c>
      <x:c r="AA86" t="s">
        <x:v>1273</x:v>
      </x:c>
      <x:c r="AB86" t="s">
        <x:v>54</x:v>
      </x:c>
      <x:c r="AC86" t="s">
        <x:v>68</x:v>
      </x:c>
      <x:c r="AD86" t="s">
        <x:v>54</x:v>
      </x:c>
      <x:c r="AE86" t="s">
        <x:v>54</x:v>
      </x:c>
      <x:c r="AF86" t="s">
        <x:v>54</x:v>
      </x:c>
      <x:c r="AG86" t="s">
        <x:v>1274</x:v>
      </x:c>
      <x:c r="AH86" t="s">
        <x:v>54</x:v>
      </x:c>
      <x:c r="AI86" t="s">
        <x:v>54</x:v>
      </x:c>
      <x:c r="AJ86" t="s">
        <x:v>54</x:v>
      </x:c>
      <x:c r="AK86" t="s">
        <x:v>54</x:v>
      </x:c>
      <x:c r="AL86" t="s">
        <x:v>54</x:v>
      </x:c>
      <x:c r="AM86" t="s">
        <x:v>1275</x:v>
      </x:c>
      <x:c r="AN86" t="s">
        <x:v>1276</x:v>
      </x:c>
      <x:c r="AO86" t="s">
        <x:v>54</x:v>
      </x:c>
      <x:c r="AP86" t="s">
        <x:v>54</x:v>
      </x:c>
      <x:c r="AQ86" t="b">
        <x:v>0</x:v>
      </x:c>
      <x:c r="AR86" t="s">
        <x:v>1277</x:v>
      </x:c>
      <x:c r="AS86" t="s">
        <x:v>54</x:v>
      </x:c>
      <x:c r="AT86" t="s">
        <x:v>73</x:v>
      </x:c>
      <x:c r="AU86" t="s">
        <x:v>1278</x:v>
      </x:c>
      <x:c r="AV86" t="s">
        <x:v>75</x:v>
      </x:c>
      <x:c r="AW86" t="s">
        <x:v>75</x:v>
      </x:c>
      <x:c r="AX86" t="s">
        <x:v>1271</x:v>
      </x:c>
      <x:c r="AY86" t="str">
        <x:f>IF(AND(ISNUMBER(SEARCH("Donovan",AC86)),OR(AT86=TRUE,AT86="TRUE"),OR(AQ86=FALSE,AQ86="FALSE")),"YES","NO")</x:f>
        <x:v>YES</x:v>
      </x:c>
      <x:c r="AZ86" t="str">
        <x:f>IF(AND(AY86="YES",LEFT(I86,2)="FF"),"YES","NO")</x:f>
        <x:v>YES</x:v>
      </x:c>
      <x:c r="BA86" t="str">
        <x:f>IF(AZ86&lt;&gt;"YES","Not FF focus",IF(N86&lt;=2,"0-2 Remote Window",IF(N86&lt;=5,"3-5 Client Follow-up",IF(N86=6,"Day 6 Escalate","7+ Overdue"))))</x:f>
        <x:v>0-2 Remote Window</x:v>
      </x:c>
      <x:c r="BB86" t="str">
        <x:f>IF(AZ86&lt;&gt;"YES","Excluded",IF(N86&lt;=2,"On Track",IF(N86&lt;=5,"Warning",IF(N86=6,"Escalate Today","Overdue"))))</x:f>
        <x:v>On Track</x:v>
      </x:c>
      <x:c r="BC86" t="str">
        <x:f>IF(AY86&lt;&gt;"YES","",IF(ISNUMBER(SEARCH("Quote Sent",P86)),"Follow up quote approval weekly + add JC comment",IF(ISNUMBER(SEARCH("Awaiting install",P86)),"Confirm install date/ETA + update JC",IF(ISNUMBER(SEARCH("Schedule",P86)),"Schedule/confirm tech action",IF(AZ86="YES",IF(N86&lt;=2,"Troubleshoot remotely + comment evidence",IF(N86&lt;=5,"Email/call client + record who/when/outcome","Escalate to Lindy + agree action plan")),"Check current status + add clear JC comment")))))</x:f>
        <x:v>Troubleshoot remotely + comment evidence</x:v>
      </x:c>
      <x:c r="BD86" t="n">
        <x:f>IF(AZ86="YES",6-N86,"")</x:f>
        <x:v>6</x:v>
      </x:c>
      <x:c r="BE86" t="str">
        <x:f>IF(AY86="YES","Comment must show: date, contact person, method, outcome, next action","")</x:f>
        <x:v>Comment must show: date, contact person, method, outcome, next action</x:v>
      </x:c>
      <x:c r="BF86" t="str">
        <x:f>IF(AND(AY86="YES",O86&gt;=7),"Stuck in status 7+ days","")</x:f>
      </x:c>
    </x:row>
    <x:row r="87">
      <x:c r="A87" t="s">
        <x:v>109</x:v>
      </x:c>
      <x:c r="B87" t="s">
        <x:v>1279</x:v>
      </x:c>
      <x:c r="C87" t="s">
        <x:v>1238</x:v>
      </x:c>
      <x:c r="D87" t="s">
        <x:v>1239</x:v>
      </x:c>
      <x:c r="E87" t="s">
        <x:v>54</x:v>
      </x:c>
      <x:c r="F87" t="s">
        <x:v>1240</x:v>
      </x:c>
      <x:c r="G87" t="s">
        <x:v>1241</x:v>
      </x:c>
      <x:c r="H87" t="s">
        <x:v>1242</x:v>
      </x:c>
      <x:c r="I87" t="s">
        <x:v>409</x:v>
      </x:c>
      <x:c r="J87" t="s">
        <x:v>1280</x:v>
      </x:c>
      <x:c r="K87" t="s">
        <x:v>54</x:v>
      </x:c>
      <x:c r="L87" t="s">
        <x:v>1244</x:v>
      </x:c>
      <x:c r="M87" t="s">
        <x:v>1281</x:v>
      </x:c>
      <x:c r="N87">
        <x:v>0</x:v>
      </x:c>
      <x:c r="O87">
        <x:v>0</x:v>
      </x:c>
      <x:c r="P87" t="s">
        <x:v>1270</x:v>
      </x:c>
      <x:c r="Q87" t="s">
        <x:v>1282</x:v>
      </x:c>
      <x:c r="R87" t="s">
        <x:v>54</x:v>
      </x:c>
      <x:c r="S87" t="s">
        <x:v>54</x:v>
      </x:c>
      <x:c r="T87" t="s">
        <x:v>54</x:v>
      </x:c>
      <x:c r="U87" t="s">
        <x:v>54</x:v>
      </x:c>
      <x:c r="V87" t="s">
        <x:v>54</x:v>
      </x:c>
      <x:c r="W87" t="s">
        <x:v>54</x:v>
      </x:c>
      <x:c r="X87" t="s">
        <x:v>54</x:v>
      </x:c>
      <x:c r="Y87" t="s">
        <x:v>1247</x:v>
      </x:c>
      <x:c r="Z87" t="s">
        <x:v>1248</x:v>
      </x:c>
      <x:c r="AA87" t="s">
        <x:v>1249</x:v>
      </x:c>
      <x:c r="AB87" t="s">
        <x:v>54</x:v>
      </x:c>
      <x:c r="AC87" t="s">
        <x:v>252</x:v>
      </x:c>
      <x:c r="AD87" t="s">
        <x:v>54</x:v>
      </x:c>
      <x:c r="AE87" t="s">
        <x:v>54</x:v>
      </x:c>
      <x:c r="AF87" t="s">
        <x:v>54</x:v>
      </x:c>
      <x:c r="AG87" t="s">
        <x:v>1283</x:v>
      </x:c>
      <x:c r="AH87" t="s">
        <x:v>54</x:v>
      </x:c>
      <x:c r="AI87" t="s">
        <x:v>54</x:v>
      </x:c>
      <x:c r="AJ87" t="s">
        <x:v>54</x:v>
      </x:c>
      <x:c r="AK87" t="s">
        <x:v>54</x:v>
      </x:c>
      <x:c r="AL87" t="s">
        <x:v>54</x:v>
      </x:c>
      <x:c r="AM87" t="s">
        <x:v>1251</x:v>
      </x:c>
      <x:c r="AN87" t="s">
        <x:v>597</x:v>
      </x:c>
      <x:c r="AO87" t="s">
        <x:v>54</x:v>
      </x:c>
      <x:c r="AP87" t="s">
        <x:v>54</x:v>
      </x:c>
      <x:c r="AQ87" t="b">
        <x:v>0</x:v>
      </x:c>
      <x:c r="AR87" t="s">
        <x:v>1277</x:v>
      </x:c>
      <x:c r="AS87" t="s">
        <x:v>54</x:v>
      </x:c>
      <x:c r="AT87" t="s">
        <x:v>73</x:v>
      </x:c>
      <x:c r="AU87" t="s">
        <x:v>1284</x:v>
      </x:c>
      <x:c r="AV87" t="s">
        <x:v>75</x:v>
      </x:c>
      <x:c r="AW87" t="s">
        <x:v>75</x:v>
      </x:c>
      <x:c r="AX87" t="s">
        <x:v>1285</x:v>
      </x:c>
      <x:c r="AY87" t="str">
        <x:f>IF(AND(ISNUMBER(SEARCH("Donovan",AC87)),OR(AT87=TRUE,AT87="TRUE"),OR(AQ87=FALSE,AQ87="FALSE")),"YES","NO")</x:f>
        <x:v>YES</x:v>
      </x:c>
      <x:c r="AZ87" t="str">
        <x:f>IF(AND(AY87="YES",LEFT(I87,2)="FF"),"YES","NO")</x:f>
        <x:v>YES</x:v>
      </x:c>
      <x:c r="BA87" t="str">
        <x:f>IF(AZ87&lt;&gt;"YES","Not FF focus",IF(N87&lt;=2,"0-2 Remote Window",IF(N87&lt;=5,"3-5 Client Follow-up",IF(N87=6,"Day 6 Escalate","7+ Overdue"))))</x:f>
        <x:v>0-2 Remote Window</x:v>
      </x:c>
      <x:c r="BB87" t="str">
        <x:f>IF(AZ87&lt;&gt;"YES","Excluded",IF(N87&lt;=2,"On Track",IF(N87&lt;=5,"Warning",IF(N87=6,"Escalate Today","Overdue"))))</x:f>
        <x:v>On Track</x:v>
      </x:c>
      <x:c r="BC87" t="str">
        <x:f>IF(AY87&lt;&gt;"YES","",IF(ISNUMBER(SEARCH("Quote Sent",P87)),"Follow up quote approval weekly + add JC comment",IF(ISNUMBER(SEARCH("Awaiting install",P87)),"Confirm install date/ETA + update JC",IF(ISNUMBER(SEARCH("Schedule",P87)),"Schedule/confirm tech action",IF(AZ87="YES",IF(N87&lt;=2,"Troubleshoot remotely + comment evidence",IF(N87&lt;=5,"Email/call client + record who/when/outcome","Escalate to Lindy + agree action plan")),"Check current status + add clear JC comment")))))</x:f>
        <x:v>Troubleshoot remotely + comment evidence</x:v>
      </x:c>
      <x:c r="BD87" t="n">
        <x:f>IF(AZ87="YES",6-N87,"")</x:f>
        <x:v>6</x:v>
      </x:c>
      <x:c r="BE87" t="str">
        <x:f>IF(AY87="YES","Comment must show: date, contact person, method, outcome, next action","")</x:f>
        <x:v>Comment must show: date, contact person, method, outcome, next action</x:v>
      </x:c>
      <x:c r="BF87" t="str">
        <x:f>IF(AND(AY87="YES",O87&gt;=7),"Stuck in status 7+ days","")</x:f>
      </x:c>
    </x:row>
    <x:row r="88">
      <x:c r="A88" t="s">
        <x:v>109</x:v>
      </x:c>
      <x:c r="B88" t="s">
        <x:v>1286</x:v>
      </x:c>
      <x:c r="C88" t="s">
        <x:v>336</x:v>
      </x:c>
      <x:c r="D88" t="s">
        <x:v>337</x:v>
      </x:c>
      <x:c r="E88" t="s">
        <x:v>54</x:v>
      </x:c>
      <x:c r="F88" t="s">
        <x:v>338</x:v>
      </x:c>
      <x:c r="G88" t="s">
        <x:v>339</x:v>
      </x:c>
      <x:c r="H88" t="s">
        <x:v>340</x:v>
      </x:c>
      <x:c r="I88" t="s">
        <x:v>409</x:v>
      </x:c>
      <x:c r="J88" t="s">
        <x:v>1287</x:v>
      </x:c>
      <x:c r="K88" t="s">
        <x:v>54</x:v>
      </x:c>
      <x:c r="L88" t="s">
        <x:v>342</x:v>
      </x:c>
      <x:c r="M88" t="s">
        <x:v>1288</x:v>
      </x:c>
      <x:c r="N88">
        <x:v>0</x:v>
      </x:c>
      <x:c r="O88">
        <x:v>0</x:v>
      </x:c>
      <x:c r="P88" t="s">
        <x:v>1270</x:v>
      </x:c>
      <x:c r="Q88" t="s">
        <x:v>1289</x:v>
      </x:c>
      <x:c r="R88" t="s">
        <x:v>54</x:v>
      </x:c>
      <x:c r="S88" t="s">
        <x:v>54</x:v>
      </x:c>
      <x:c r="T88" t="s">
        <x:v>54</x:v>
      </x:c>
      <x:c r="U88" t="s">
        <x:v>54</x:v>
      </x:c>
      <x:c r="V88" t="s">
        <x:v>54</x:v>
      </x:c>
      <x:c r="W88" t="s">
        <x:v>54</x:v>
      </x:c>
      <x:c r="X88" t="s">
        <x:v>54</x:v>
      </x:c>
      <x:c r="Y88" t="s">
        <x:v>1290</x:v>
      </x:c>
      <x:c r="Z88" t="s">
        <x:v>494</x:v>
      </x:c>
      <x:c r="AA88" t="s">
        <x:v>1291</x:v>
      </x:c>
      <x:c r="AB88" t="s">
        <x:v>54</x:v>
      </x:c>
      <x:c r="AC88" t="s">
        <x:v>68</x:v>
      </x:c>
      <x:c r="AD88" t="s">
        <x:v>54</x:v>
      </x:c>
      <x:c r="AE88" t="s">
        <x:v>54</x:v>
      </x:c>
      <x:c r="AF88" t="s">
        <x:v>54</x:v>
      </x:c>
      <x:c r="AG88" t="s">
        <x:v>1292</x:v>
      </x:c>
      <x:c r="AH88" t="s">
        <x:v>54</x:v>
      </x:c>
      <x:c r="AI88" t="s">
        <x:v>54</x:v>
      </x:c>
      <x:c r="AJ88" t="s">
        <x:v>54</x:v>
      </x:c>
      <x:c r="AK88" t="s">
        <x:v>54</x:v>
      </x:c>
      <x:c r="AL88" t="s">
        <x:v>54</x:v>
      </x:c>
      <x:c r="AM88" t="s">
        <x:v>1275</x:v>
      </x:c>
      <x:c r="AN88" t="s">
        <x:v>1223</x:v>
      </x:c>
      <x:c r="AO88" t="s">
        <x:v>54</x:v>
      </x:c>
      <x:c r="AP88" t="s">
        <x:v>54</x:v>
      </x:c>
      <x:c r="AQ88" t="b">
        <x:v>0</x:v>
      </x:c>
      <x:c r="AR88" t="s">
        <x:v>1277</x:v>
      </x:c>
      <x:c r="AS88" t="s">
        <x:v>54</x:v>
      </x:c>
      <x:c r="AT88" t="s">
        <x:v>73</x:v>
      </x:c>
      <x:c r="AU88" t="s">
        <x:v>1293</x:v>
      </x:c>
      <x:c r="AV88" t="s">
        <x:v>75</x:v>
      </x:c>
      <x:c r="AW88" t="s">
        <x:v>75</x:v>
      </x:c>
      <x:c r="AX88" t="s">
        <x:v>1289</x:v>
      </x:c>
      <x:c r="AY88" t="str">
        <x:f>IF(AND(ISNUMBER(SEARCH("Donovan",AC88)),OR(AT88=TRUE,AT88="TRUE"),OR(AQ88=FALSE,AQ88="FALSE")),"YES","NO")</x:f>
        <x:v>YES</x:v>
      </x:c>
      <x:c r="AZ88" t="str">
        <x:f>IF(AND(AY88="YES",LEFT(I88,2)="FF"),"YES","NO")</x:f>
        <x:v>YES</x:v>
      </x:c>
      <x:c r="BA88" t="str">
        <x:f>IF(AZ88&lt;&gt;"YES","Not FF focus",IF(N88&lt;=2,"0-2 Remote Window",IF(N88&lt;=5,"3-5 Client Follow-up",IF(N88=6,"Day 6 Escalate","7+ Overdue"))))</x:f>
        <x:v>0-2 Remote Window</x:v>
      </x:c>
      <x:c r="BB88" t="str">
        <x:f>IF(AZ88&lt;&gt;"YES","Excluded",IF(N88&lt;=2,"On Track",IF(N88&lt;=5,"Warning",IF(N88=6,"Escalate Today","Overdue"))))</x:f>
        <x:v>On Track</x:v>
      </x:c>
      <x:c r="BC88" t="str">
        <x:f>IF(AY88&lt;&gt;"YES","",IF(ISNUMBER(SEARCH("Quote Sent",P88)),"Follow up quote approval weekly + add JC comment",IF(ISNUMBER(SEARCH("Awaiting install",P88)),"Confirm install date/ETA + update JC",IF(ISNUMBER(SEARCH("Schedule",P88)),"Schedule/confirm tech action",IF(AZ88="YES",IF(N88&lt;=2,"Troubleshoot remotely + comment evidence",IF(N88&lt;=5,"Email/call client + record who/when/outcome","Escalate to Lindy + agree action plan")),"Check current status + add clear JC comment")))))</x:f>
        <x:v>Troubleshoot remotely + comment evidence</x:v>
      </x:c>
      <x:c r="BD88" t="n">
        <x:f>IF(AZ88="YES",6-N88,"")</x:f>
        <x:v>6</x:v>
      </x:c>
      <x:c r="BE88" t="str">
        <x:f>IF(AY88="YES","Comment must show: date, contact person, method, outcome, next action","")</x:f>
        <x:v>Comment must show: date, contact person, method, outcome, next action</x:v>
      </x:c>
      <x:c r="BF88" t="str">
        <x:f>IF(AND(AY88="YES",O88&gt;=7),"Stuck in status 7+ days","")</x:f>
      </x:c>
    </x:row>
    <x:row r="89">
      <x:c r="A89" t="s">
        <x:v>109</x:v>
      </x:c>
      <x:c r="B89" t="s">
        <x:v>1294</x:v>
      </x:c>
      <x:c r="C89" t="s">
        <x:v>1295</x:v>
      </x:c>
      <x:c r="D89" t="s">
        <x:v>1296</x:v>
      </x:c>
      <x:c r="E89" t="s">
        <x:v>54</x:v>
      </x:c>
      <x:c r="F89" t="s">
        <x:v>1297</x:v>
      </x:c>
      <x:c r="G89" t="s">
        <x:v>1298</x:v>
      </x:c>
      <x:c r="H89" t="s">
        <x:v>54</x:v>
      </x:c>
      <x:c r="I89" t="s">
        <x:v>522</x:v>
      </x:c>
      <x:c r="J89" t="s">
        <x:v>1299</x:v>
      </x:c>
      <x:c r="K89" t="s">
        <x:v>54</x:v>
      </x:c>
      <x:c r="L89" t="s">
        <x:v>1300</x:v>
      </x:c>
      <x:c r="M89" t="s">
        <x:v>1301</x:v>
      </x:c>
      <x:c r="N89">
        <x:v>0</x:v>
      </x:c>
      <x:c r="O89">
        <x:v>0</x:v>
      </x:c>
      <x:c r="P89" t="s">
        <x:v>1270</x:v>
      </x:c>
      <x:c r="Q89" t="s">
        <x:v>1302</x:v>
      </x:c>
      <x:c r="R89" t="s">
        <x:v>54</x:v>
      </x:c>
      <x:c r="S89" t="s">
        <x:v>54</x:v>
      </x:c>
      <x:c r="T89" t="s">
        <x:v>54</x:v>
      </x:c>
      <x:c r="U89" t="s">
        <x:v>54</x:v>
      </x:c>
      <x:c r="V89" t="s">
        <x:v>54</x:v>
      </x:c>
      <x:c r="W89" t="s">
        <x:v>54</x:v>
      </x:c>
      <x:c r="X89" t="s">
        <x:v>54</x:v>
      </x:c>
      <x:c r="Y89" t="s">
        <x:v>1303</x:v>
      </x:c>
      <x:c r="Z89" t="s">
        <x:v>1304</x:v>
      </x:c>
      <x:c r="AA89" t="s">
        <x:v>1305</x:v>
      </x:c>
      <x:c r="AB89" t="s">
        <x:v>54</x:v>
      </x:c>
      <x:c r="AC89" t="s">
        <x:v>68</x:v>
      </x:c>
      <x:c r="AD89" t="s">
        <x:v>54</x:v>
      </x:c>
      <x:c r="AE89" t="s">
        <x:v>54</x:v>
      </x:c>
      <x:c r="AF89" t="s">
        <x:v>54</x:v>
      </x:c>
      <x:c r="AG89" t="s">
        <x:v>1306</x:v>
      </x:c>
      <x:c r="AH89" t="s">
        <x:v>54</x:v>
      </x:c>
      <x:c r="AI89" t="s">
        <x:v>54</x:v>
      </x:c>
      <x:c r="AJ89" t="s">
        <x:v>54</x:v>
      </x:c>
      <x:c r="AK89" t="s">
        <x:v>54</x:v>
      </x:c>
      <x:c r="AL89" t="s">
        <x:v>54</x:v>
      </x:c>
      <x:c r="AM89" t="s">
        <x:v>1307</x:v>
      </x:c>
      <x:c r="AN89" t="s">
        <x:v>1154</x:v>
      </x:c>
      <x:c r="AO89" t="s">
        <x:v>54</x:v>
      </x:c>
      <x:c r="AP89" t="s">
        <x:v>54</x:v>
      </x:c>
      <x:c r="AQ89" t="b">
        <x:v>0</x:v>
      </x:c>
      <x:c r="AR89" t="s">
        <x:v>1277</x:v>
      </x:c>
      <x:c r="AS89" t="s">
        <x:v>54</x:v>
      </x:c>
      <x:c r="AT89" t="s">
        <x:v>73</x:v>
      </x:c>
      <x:c r="AU89" t="s">
        <x:v>1308</x:v>
      </x:c>
      <x:c r="AV89" t="s">
        <x:v>75</x:v>
      </x:c>
      <x:c r="AW89" t="s">
        <x:v>75</x:v>
      </x:c>
      <x:c r="AX89" t="s">
        <x:v>1302</x:v>
      </x:c>
      <x:c r="AY89" t="str">
        <x:f>IF(AND(ISNUMBER(SEARCH("Donovan",AC89)),OR(AT89=TRUE,AT89="TRUE"),OR(AQ89=FALSE,AQ89="FALSE")),"YES","NO")</x:f>
        <x:v>YES</x:v>
      </x:c>
      <x:c r="AZ89" t="str">
        <x:f>IF(AND(AY89="YES",LEFT(I89,2)="FF"),"YES","NO")</x:f>
        <x:v>YES</x:v>
      </x:c>
      <x:c r="BA89" t="str">
        <x:f>IF(AZ89&lt;&gt;"YES","Not FF focus",IF(N89&lt;=2,"0-2 Remote Window",IF(N89&lt;=5,"3-5 Client Follow-up",IF(N89=6,"Day 6 Escalate","7+ Overdue"))))</x:f>
        <x:v>0-2 Remote Window</x:v>
      </x:c>
      <x:c r="BB89" t="str">
        <x:f>IF(AZ89&lt;&gt;"YES","Excluded",IF(N89&lt;=2,"On Track",IF(N89&lt;=5,"Warning",IF(N89=6,"Escalate Today","Overdue"))))</x:f>
        <x:v>On Track</x:v>
      </x:c>
      <x:c r="BC89" t="str">
        <x:f>IF(AY89&lt;&gt;"YES","",IF(ISNUMBER(SEARCH("Quote Sent",P89)),"Follow up quote approval weekly + add JC comment",IF(ISNUMBER(SEARCH("Awaiting install",P89)),"Confirm install date/ETA + update JC",IF(ISNUMBER(SEARCH("Schedule",P89)),"Schedule/confirm tech action",IF(AZ89="YES",IF(N89&lt;=2,"Troubleshoot remotely + comment evidence",IF(N89&lt;=5,"Email/call client + record who/when/outcome","Escalate to Lindy + agree action plan")),"Check current status + add clear JC comment")))))</x:f>
        <x:v>Troubleshoot remotely + comment evidence</x:v>
      </x:c>
      <x:c r="BD89" t="n">
        <x:f>IF(AZ89="YES",6-N89,"")</x:f>
        <x:v>6</x:v>
      </x:c>
      <x:c r="BE89" t="str">
        <x:f>IF(AY89="YES","Comment must show: date, contact person, method, outcome, next action","")</x:f>
        <x:v>Comment must show: date, contact person, method, outcome, next action</x:v>
      </x:c>
      <x:c r="BF89" t="str">
        <x:f>IF(AND(AY89="YES",O89&gt;=7),"Stuck in status 7+ days","")</x:f>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34" hidden="0" customWidth="1"/>
    <x:col min="4" max="4" width="18" hidden="0" customWidth="1"/>
    <x:col min="5" max="5" width="14" hidden="0" customWidth="1"/>
    <x:col min="6" max="6" width="16" hidden="0" customWidth="1"/>
    <x:col min="7" max="7" width="16" hidden="0" customWidth="1"/>
    <x:col min="8" max="8" width="16" hidden="0" customWidth="1"/>
    <x:col min="9" max="9" width="16" hidden="0" customWidth="1"/>
    <x:col min="10" max="10" width="16" hidden="0" customWidth="1"/>
    <x:col min="11" max="11" width="20" hidden="0" customWidth="1"/>
  </x:cols>
  <x:sheetData>
    <x:row r="1" ht="34" customHeight="1">
      <x:c r="A1" s="12" t="str">
        <x:v>DONOVAN JC LIVE CONTROL DASHBOARD</x:v>
      </x:c>
    </x:row>
    <x:row r="2" ht="34" customHeight="1">
      <x:c r="A2" s="15" t="str">
        <x:v>Purpose: keep Fault Fix job cards inside the day-0 to day-6 process, with clear follow-up, escalation and JC comments. Refresh by replacing the raw export rows on the Report Job Card List tab.</x:v>
      </x:c>
    </x:row>
    <x:row r="4">
      <x:c r="A4" s="16" t="str">
        <x:v>Metric</x:v>
      </x:c>
      <x:c r="B4" s="16" t="str">
        <x:v>Live Count</x:v>
      </x:c>
      <x:c r="C4" s="16" t="str">
        <x:v>Meaning</x:v>
      </x:c>
      <x:c r="E4" s="23" t="str">
        <x:v>Day</x:v>
      </x:c>
      <x:c r="F4" s="23" t="str">
        <x:v>Required action</x:v>
      </x:c>
      <x:c r="G4" s="23" t="str">
        <x:v>Dashboard flag</x:v>
      </x:c>
      <x:c r="H4" s="23"/>
      <x:c r="I4" s="23"/>
      <x:c r="J4" s="23"/>
      <x:c r="K4" s="23"/>
    </x:row>
    <x:row r="5">
      <x:c r="A5" s="18" t="str">
        <x:v>Donovan Active JCs</x:v>
      </x:c>
      <x:c r="B5" s="20" t="n">
        <x:f>COUNTIF('Report Job Card List'!AY:AY,"YES")</x:f>
        <x:v>88</x:v>
      </x:c>
      <x:c r="C5" s="18" t="str">
        <x:v>All active open JCs assigned to Donovan</x:v>
      </x:c>
      <x:c r="E5" s="25" t="str">
        <x:v>Day 0-2</x:v>
      </x:c>
      <x:c r="F5" s="25" t="str">
        <x:v>Remote troubleshooting, check system evidence and comment JC.</x:v>
      </x:c>
      <x:c r="G5" s="25" t="str">
        <x:v>On Track</x:v>
      </x:c>
      <x:c r="H5" s="25"/>
      <x:c r="I5" s="25"/>
      <x:c r="J5" s="25"/>
      <x:c r="K5" s="25"/>
    </x:row>
    <x:row r="6">
      <x:c r="A6" s="18" t="str">
        <x:v>FF KPI Focus</x:v>
      </x:c>
      <x:c r="B6" s="20" t="n">
        <x:f>COUNTIF('Report Job Card List'!AZ:AZ,"YES")</x:f>
        <x:v>57</x:v>
      </x:c>
      <x:c r="C6" s="18" t="str">
        <x:v>Fault Fix KPI population</x:v>
      </x:c>
      <x:c r="E6" s="25" t="str">
        <x:v>End day 2</x:v>
      </x:c>
      <x:c r="F6" s="25" t="str">
        <x:v>If not resolved, email client asking if anything happened on site.</x:v>
      </x:c>
      <x:c r="G6" s="25" t="str">
        <x:v>Warning starts</x:v>
      </x:c>
      <x:c r="H6" s="25"/>
      <x:c r="I6" s="25"/>
      <x:c r="J6" s="25"/>
      <x:c r="K6" s="25"/>
    </x:row>
    <x:row r="7">
      <x:c r="A7" s="18" t="str">
        <x:v>Day 6 / Overdue</x:v>
      </x:c>
      <x:c r="B7" s="20" t="n">
        <x:f>COUNTIFS('Report Job Card List'!AZ:AZ,"YES",'Report Job Card List'!BB:BB,"Escalate Today")+COUNTIFS('Report Job Card List'!AZ:AZ,"YES",'Report Job Card List'!BB:BB,"Overdue")</x:f>
        <x:v>51</x:v>
      </x:c>
      <x:c r="C7" s="18" t="str">
        <x:v>Must be actioned / escalated</x:v>
      </x:c>
      <x:c r="E7" s="25" t="str">
        <x:v>End day 4-5</x:v>
      </x:c>
      <x:c r="F7" s="25" t="str">
        <x:v>If no response, call client; if no answer, try again same day and next day.</x:v>
      </x:c>
      <x:c r="G7" s="25" t="str">
        <x:v>Warning</x:v>
      </x:c>
      <x:c r="H7" s="25"/>
      <x:c r="I7" s="25"/>
      <x:c r="J7" s="25"/>
      <x:c r="K7" s="25"/>
    </x:row>
    <x:row r="8">
      <x:c r="A8" s="18" t="str">
        <x:v>Stale 7+ Days in Status</x:v>
      </x:c>
      <x:c r="B8" s="20" t="n">
        <x:f>COUNTIFS('Report Job Card List'!AY:AY,"YES",'Report Job Card List'!O:O,"&gt;=7")</x:f>
        <x:v>62</x:v>
      </x:c>
      <x:c r="C8" s="18" t="str">
        <x:v>Sitting too long in same flow step</x:v>
      </x:c>
      <x:c r="E8" s="25" t="str">
        <x:v>Day 6</x:v>
      </x:c>
      <x:c r="F8" s="25" t="str">
        <x:v>If client cannot be reached, communicate to Lindy and agree action plan.</x:v>
      </x:c>
      <x:c r="G8" s="25" t="str">
        <x:v>Escalate Today / Overdue</x:v>
      </x:c>
      <x:c r="H8" s="25"/>
      <x:c r="I8" s="25"/>
      <x:c r="J8" s="25"/>
      <x:c r="K8" s="25"/>
    </x:row>
    <x:row r="9">
      <x:c r="A9" s="18" t="str">
        <x:v>Quote Follow-ups</x:v>
      </x:c>
      <x:c r="B9" s="20" t="n">
        <x:f>COUNTIFS('Report Job Card List'!AY2:AY89,"YES",'Report Job Card List'!P2:P89,"FF06_FT_Quote Sent Awaiting Customer Approval")+COUNTIFS('Report Job Card List'!AY2:AY89,"YES",'Report Job Card List'!P2:P89,"SI07_FT_Quote Sent Awaiting Customer Approval")</x:f>
        <x:v>29</x:v>
      </x:c>
      <x:c r="C9" s="18" t="str">
        <x:v>Weekly client follow-up required</x:v>
      </x:c>
      <x:c r="E9" s="25" t="str">
        <x:v>Quote stage</x:v>
      </x:c>
      <x:c r="F9" s="25" t="str">
        <x:v>Hardware quote follow-up weekly; add call/email proof as JC comments.</x:v>
      </x:c>
      <x:c r="G9" s="25" t="str">
        <x:v>Quote Follow-up</x:v>
      </x:c>
      <x:c r="H9" s="25"/>
      <x:c r="I9" s="25"/>
      <x:c r="J9" s="25"/>
      <x:c r="K9" s="25"/>
    </x:row>
    <x:row r="12">
      <x:c r="A12" s="28" t="str">
        <x:v>KPI Age Band</x:v>
      </x:c>
      <x:c r="B12" s="28" t="str">
        <x:v>Count</x:v>
      </x:c>
      <x:c r="D12" s="28" t="str">
        <x:v>Risk Level</x:v>
      </x:c>
      <x:c r="E12" s="28" t="str">
        <x:v>Count</x:v>
      </x:c>
      <x:c r="G12" s="28" t="str">
        <x:v>Current Status</x:v>
      </x:c>
      <x:c r="H12" s="28" t="str">
        <x:v>Count</x:v>
      </x:c>
    </x:row>
    <x:row r="13">
      <x:c r="A13" s="29" t="str">
        <x:v>0-2 Remote Window</x:v>
      </x:c>
      <x:c r="B13" s="29" t="n">
        <x:v>6</x:v>
      </x:c>
      <x:c r="C13" s="29"/>
      <x:c r="D13" s="29" t="str">
        <x:v>On Track</x:v>
      </x:c>
      <x:c r="E13" s="29" t="n">
        <x:v>6</x:v>
      </x:c>
      <x:c r="F13" s="29"/>
      <x:c r="G13" s="29" t="str">
        <x:v>SI07_FT_Quote Sent Awaiting Customer Approval</x:v>
      </x:c>
      <x:c r="H13" s="29" t="n">
        <x:v>15</x:v>
      </x:c>
    </x:row>
    <x:row r="14">
      <x:c r="A14" s="29" t="str">
        <x:v>3-5 Client Follow-up</x:v>
      </x:c>
      <x:c r="B14" s="29" t="n">
        <x:v>0</x:v>
      </x:c>
      <x:c r="C14" s="29"/>
      <x:c r="D14" s="29" t="str">
        <x:v>Warning</x:v>
      </x:c>
      <x:c r="E14" s="29" t="n">
        <x:v>0</x:v>
      </x:c>
      <x:c r="F14" s="29"/>
      <x:c r="G14" s="29" t="str">
        <x:v>FF06_FT_Quote Sent Awaiting Customer Approval</x:v>
      </x:c>
      <x:c r="H14" s="29" t="n">
        <x:v>14</x:v>
      </x:c>
    </x:row>
    <x:row r="15">
      <x:c r="A15" s="29" t="str">
        <x:v>Day 6 Escalate</x:v>
      </x:c>
      <x:c r="B15" s="29" t="n">
        <x:v>1</x:v>
      </x:c>
      <x:c r="C15" s="29"/>
      <x:c r="D15" s="29" t="str">
        <x:v>Escalate Today</x:v>
      </x:c>
      <x:c r="E15" s="29" t="n">
        <x:v>1</x:v>
      </x:c>
      <x:c r="F15" s="29"/>
      <x:c r="G15" s="29" t="str">
        <x:v>FF10A_PT_Awaiting install by client's techie</x:v>
      </x:c>
      <x:c r="H15" s="29" t="n">
        <x:v>11</x:v>
      </x:c>
    </x:row>
    <x:row r="16">
      <x:c r="A16" s="29" t="str">
        <x:v>7+ Overdue</x:v>
      </x:c>
      <x:c r="B16" s="29" t="n">
        <x:v>50</x:v>
      </x:c>
      <x:c r="C16" s="29"/>
      <x:c r="D16" s="29" t="str">
        <x:v>Overdue</x:v>
      </x:c>
      <x:c r="E16" s="29" t="n">
        <x:v>50</x:v>
      </x:c>
      <x:c r="F16" s="29"/>
      <x:c r="G16" s="29" t="str">
        <x:v>FF03.1_PT_Awaiting Client Feedback</x:v>
      </x:c>
      <x:c r="H16" s="29" t="n">
        <x:v>7</x:v>
      </x:c>
    </x:row>
    <x:row r="17">
      <x:c r="A17" s="29" t="str">
        <x:v>Not FF focus</x:v>
      </x:c>
      <x:c r="B17" s="29" t="n">
        <x:v>31</x:v>
      </x:c>
      <x:c r="C17" s="29"/>
      <x:c r="D17" s="29" t="str">
        <x:v>Excluded</x:v>
      </x:c>
      <x:c r="E17" s="29" t="n">
        <x:v>31</x:v>
      </x:c>
      <x:c r="F17" s="29"/>
      <x:c r="G17" s="29" t="str">
        <x:v>FF10B_PT_Schedule REM Tech installation/commission</x:v>
      </x:c>
      <x:c r="H17" s="29" t="n">
        <x:v>6</x:v>
      </x:c>
    </x:row>
    <x:row r="18">
      <x:c r="A18" s="29"/>
      <x:c r="B18" s="29"/>
      <x:c r="C18" s="29"/>
      <x:c r="D18" s="29"/>
      <x:c r="E18" s="29"/>
      <x:c r="F18" s="29"/>
      <x:c r="G18" s="29" t="str">
        <x:v>FF02.2_PT_Further Investigations</x:v>
      </x:c>
      <x:c r="H18" s="29" t="n">
        <x:v>6</x:v>
      </x:c>
    </x:row>
    <x:row r="19">
      <x:c r="A19" s="29"/>
      <x:c r="B19" s="29"/>
      <x:c r="C19" s="29"/>
      <x:c r="D19" s="29"/>
      <x:c r="E19" s="29"/>
      <x:c r="F19" s="29"/>
      <x:c r="G19" s="29" t="str">
        <x:v>FF02.1_PT_Troubleshoot Remotely</x:v>
      </x:c>
      <x:c r="H19" s="29" t="n">
        <x:v>4</x:v>
      </x:c>
    </x:row>
    <x:row r="20">
      <x:c r="A20" s="29"/>
      <x:c r="B20" s="29"/>
      <x:c r="C20" s="29"/>
      <x:c r="D20" s="29"/>
      <x:c r="E20" s="29"/>
      <x:c r="F20" s="29"/>
      <x:c r="G20" s="29" t="str">
        <x:v>IN11.1_PT_Awaiting install by client</x:v>
      </x:c>
      <x:c r="H20" s="29" t="n">
        <x:v>3</x:v>
      </x:c>
    </x:row>
    <x:row r="21">
      <x:c r="A21" s="29"/>
      <x:c r="B21" s="29"/>
      <x:c r="C21" s="29"/>
      <x:c r="D21" s="29"/>
      <x:c r="E21" s="29"/>
      <x:c r="F21" s="29"/>
      <x:c r="G21" s="29"/>
      <x:c r="H21" s="29"/>
    </x:row>
    <x:row r="22">
      <x:c r="A22" s="29"/>
      <x:c r="B22" s="29"/>
      <x:c r="C22" s="29"/>
      <x:c r="D22" s="29"/>
      <x:c r="E22" s="29"/>
      <x:c r="F22" s="29"/>
      <x:c r="G22" s="29"/>
      <x:c r="H22" s="29"/>
    </x:row>
    <x:row r="23">
      <x:c r="A23" s="29"/>
      <x:c r="B23" s="29"/>
      <x:c r="C23" s="29"/>
      <x:c r="D23" s="29"/>
      <x:c r="E23" s="29"/>
      <x:c r="F23" s="29"/>
      <x:c r="G23" s="29"/>
      <x:c r="H23" s="29"/>
    </x:row>
    <x:row r="24">
      <x:c r="A24" s="29"/>
      <x:c r="B24" s="29"/>
      <x:c r="C24" s="29"/>
      <x:c r="D24" s="29"/>
      <x:c r="E24" s="29"/>
      <x:c r="F24" s="29"/>
      <x:c r="G24" s="29"/>
      <x:c r="H24" s="29"/>
    </x:row>
    <x:row r="25">
      <x:c r="A25" s="29"/>
      <x:c r="B25" s="29"/>
      <x:c r="C25" s="29"/>
      <x:c r="D25" s="29"/>
      <x:c r="E25" s="29"/>
      <x:c r="F25" s="29"/>
      <x:c r="G25" s="29"/>
      <x:c r="H25" s="29"/>
    </x:row>
  </x:sheetData>
  <x:mergeCells>
    <x:mergeCell ref="A1:K1"/>
    <x:mergeCell ref="A2:K2"/>
  </x:mergeCells>
  <x:conditionalFormatting sqref="B7:B7">
    <x:cfRule type="cellIs" dxfId="4" priority="1" operator="greaterThan">
      <x:formula>0</x:formula>
    </x:cfRule>
  </x:conditionalFormatting>
  <x:pageMargins left="0.7" right="0.7" top="0.75" bottom="0.75" header="0.3" footer="0.3"/>
  <x:drawing xmlns:r="http://schemas.openxmlformats.org/officeDocument/2006/relationships" r:id="R755f447fa1f04875"/>
</x:worksheet>
</file>

<file path=xl/worksheets/sheet3.xml><?xml version="1.0" encoding="utf-8"?>
<x:worksheet xmlns:x="http://schemas.openxmlformats.org/spreadsheetml/2006/main">
  <x:sheetFormatPr defaultRowHeight="15"/>
  <x:cols>
    <x:col min="1" max="1" width="12" hidden="0" customWidth="1"/>
    <x:col min="2" max="2" width="26" hidden="0" customWidth="1"/>
    <x:col min="3" max="3" width="28" hidden="0" customWidth="1"/>
    <x:col min="4" max="4" width="34" hidden="0" customWidth="1"/>
    <x:col min="5" max="5" width="12" hidden="0" customWidth="1"/>
    <x:col min="6" max="6" width="12" hidden="0" customWidth="1"/>
    <x:col min="7" max="7" width="20" hidden="0" customWidth="1"/>
    <x:col min="8" max="8" width="20" hidden="0" customWidth="1"/>
    <x:col min="9" max="9" width="42" hidden="0" customWidth="1"/>
    <x:col min="10" max="10" width="22" hidden="0" customWidth="1"/>
    <x:col min="11" max="11" width="22" hidden="0" customWidth="1"/>
    <x:col min="12" max="12" width="22" hidden="0" customWidth="1"/>
    <x:col min="13" max="13" width="20" hidden="0" customWidth="1"/>
    <x:col min="14" max="14" width="45" hidden="0" customWidth="1"/>
    <x:col min="15" max="15" width="22" hidden="0" customWidth="1"/>
    <x:col min="16" max="16" width="35" hidden="0" customWidth="1"/>
  </x:cols>
  <x:sheetData>
    <x:row r="1" ht="30" customHeight="1">
      <x:c r="A1" s="8" t="str">
        <x:v>JC Number</x:v>
      </x:c>
      <x:c r="B1" s="8" t="str">
        <x:v>Customer</x:v>
      </x:c>
      <x:c r="C1" s="8" t="str">
        <x:v>Job Type</x:v>
      </x:c>
      <x:c r="D1" s="8" t="str">
        <x:v>Current Status</x:v>
      </x:c>
      <x:c r="E1" s="8" t="str">
        <x:v>Days Overall</x:v>
      </x:c>
      <x:c r="F1" s="8" t="str">
        <x:v>Days in Status</x:v>
      </x:c>
      <x:c r="G1" s="8" t="str">
        <x:v>KPI Age Band</x:v>
      </x:c>
      <x:c r="H1" s="8" t="str">
        <x:v>Risk Level</x:v>
      </x:c>
      <x:c r="I1" s="8" t="str">
        <x:v>Next Required Action</x:v>
      </x:c>
      <x:c r="J1" s="8" t="str">
        <x:v>Contact</x:v>
      </x:c>
      <x:c r="K1" s="8" t="str">
        <x:v>Email</x:v>
      </x:c>
      <x:c r="L1" s="8" t="str">
        <x:v>Mobile</x:v>
      </x:c>
      <x:c r="M1" s="8" t="str">
        <x:v>Serial No</x:v>
      </x:c>
      <x:c r="N1" s="8" t="str">
        <x:v>Description</x:v>
      </x:c>
      <x:c r="O1" s="8" t="str">
        <x:v>Modified Date</x:v>
      </x:c>
      <x:c r="P1" s="8" t="str">
        <x:v>Lindy / Donovan Notes</x:v>
      </x:c>
    </x:row>
    <x:row r="2">
      <x:c r="A2" t="str">
        <x:v>JC10062</x:v>
      </x:c>
      <x:c r="B2" t="str">
        <x:v>BKB</x:v>
      </x:c>
      <x:c r="C2" t="str">
        <x:v>FF_Fault Fix Water (Lora/Visio)</x:v>
      </x:c>
      <x:c r="D2" t="str">
        <x:v>FF10A_PT_Awaiting install by client's techie</x:v>
      </x:c>
      <x:c r="E2" t="n">
        <x:v>199</x:v>
      </x:c>
      <x:c r="F2" t="n">
        <x:v>79</x:v>
      </x:c>
      <x:c r="G2" t="str">
        <x:v>7+ Overdue</x:v>
      </x:c>
      <x:c r="H2" t="str">
        <x:v>Overdue</x:v>
      </x:c>
      <x:c r="I2" t="str">
        <x:v>Confirm install date/ETA + update JC</x:v>
      </x:c>
      <x:c r="J2" t="str">
        <x:v>Pauline Gerber</x:v>
      </x:c>
      <x:c r="K2" t="str">
        <x:v>pauline.gerber@bkb.co.za</x:v>
      </x:c>
      <x:c r="L2" t="str"/>
      <x:c r="M2" t="str">
        <x:v>C-WRA0702, C-BJK0742, 1181702</x:v>
      </x:c>
      <x:c r="N2" t="str">
        <x:v>Meter #C-WRA0702 - ladies Cloakroom is showing no consumption.</x:v>
      </x:c>
      <x:c r="O2" t="str">
        <x:v>2026-03-18 06:16:50</x:v>
      </x:c>
      <x:c r="P2" t="str"/>
    </x:row>
    <x:row r="3">
      <x:c r="A3" t="str">
        <x:v>JC10061</x:v>
      </x:c>
      <x:c r="B3" t="str">
        <x:v>BKB</x:v>
      </x:c>
      <x:c r="C3" t="str">
        <x:v>FF_Fault Fix Water (Lora/Visio)</x:v>
      </x:c>
      <x:c r="D3" t="str">
        <x:v>FF10A_PT_Awaiting install by client's techie</x:v>
      </x:c>
      <x:c r="E3" t="n">
        <x:v>199</x:v>
      </x:c>
      <x:c r="F3" t="n">
        <x:v>59</x:v>
      </x:c>
      <x:c r="G3" t="str">
        <x:v>7+ Overdue</x:v>
      </x:c>
      <x:c r="H3" t="str">
        <x:v>Overdue</x:v>
      </x:c>
      <x:c r="I3" t="str">
        <x:v>Confirm install date/ETA + update JC</x:v>
      </x:c>
      <x:c r="J3" t="str">
        <x:v>Pauline Gerber</x:v>
      </x:c>
      <x:c r="K3" t="str">
        <x:v>pauline.gerber@bkb.co.za</x:v>
      </x:c>
      <x:c r="L3" t="str"/>
      <x:c r="M3" t="str">
        <x:v>1181702, 54257692</x:v>
      </x:c>
      <x:c r="N3" t="str">
        <x:v>Meter #1181702 has stopped comms.</x:v>
      </x:c>
      <x:c r="O3" t="str">
        <x:v>2026-03-23 08:59:48</x:v>
      </x:c>
      <x:c r="P3" t="str"/>
    </x:row>
    <x:row r="4">
      <x:c r="A4" t="str">
        <x:v>JC10170</x:v>
      </x:c>
      <x:c r="B4" t="str">
        <x:v>Value Logistics (Pty) Ltd</x:v>
      </x:c>
      <x:c r="C4" t="str">
        <x:v>FF_Fault Fix Kamstrup Server Meter (Elec/Wat)</x:v>
      </x:c>
      <x:c r="D4" t="str">
        <x:v>FF10B_PT_Schedule REM Tech installation/commission</x:v>
      </x:c>
      <x:c r="E4" t="n">
        <x:v>135</x:v>
      </x:c>
      <x:c r="F4" t="n">
        <x:v>2</x:v>
      </x:c>
      <x:c r="G4" t="str">
        <x:v>7+ Overdue</x:v>
      </x:c>
      <x:c r="H4" t="str">
        <x:v>Overdue</x:v>
      </x:c>
      <x:c r="I4" t="str">
        <x:v>Schedule/confirm tech action</x:v>
      </x:c>
      <x:c r="J4" t="str">
        <x:v>Eugene Blanche</x:v>
      </x:c>
      <x:c r="K4" t="str">
        <x:v>eugeneb@wonderlandprop.co.za</x:v>
      </x:c>
      <x:c r="L4" t="str"/>
      <x:c r="M4" t="str">
        <x:v>35726986</x:v>
      </x:c>
      <x:c r="N4" t="str">
        <x:v>The meter has stopped communicating with us, checked the sim and it is also Offline</x:v>
      </x:c>
      <x:c r="O4" t="str">
        <x:v>2026-05-19 09:27:03</x:v>
      </x:c>
      <x:c r="P4" t="str"/>
    </x:row>
    <x:row r="5">
      <x:c r="A5" t="str">
        <x:v>JC10214</x:v>
      </x:c>
      <x:c r="B5" t="str">
        <x:v>BKB</x:v>
      </x:c>
      <x:c r="C5" t="str">
        <x:v>FF_Fault Fix Water (Lora/Visio)</x:v>
      </x:c>
      <x:c r="D5" t="str">
        <x:v>FF10A_PT_Awaiting install by client's techie</x:v>
      </x:c>
      <x:c r="E5" t="n">
        <x:v>126</x:v>
      </x:c>
      <x:c r="F5" t="n">
        <x:v>122</x:v>
      </x:c>
      <x:c r="G5" t="str">
        <x:v>7+ Overdue</x:v>
      </x:c>
      <x:c r="H5" t="str">
        <x:v>Overdue</x:v>
      </x:c>
      <x:c r="I5" t="str">
        <x:v>Confirm install date/ETA + update JC</x:v>
      </x:c>
      <x:c r="J5" t="str">
        <x:v>Pauline Gerber</x:v>
      </x:c>
      <x:c r="K5" t="str">
        <x:v>pauline.gerber@bkb.co.za</x:v>
      </x:c>
      <x:c r="L5" t="str"/>
      <x:c r="M5" t="str">
        <x:v>C-BJA1104, 76609168</x:v>
      </x:c>
      <x:c r="N5" t="str">
        <x:v>Lora is recording zero consumption now, it must be faulty. Will have to quote to replace</x:v>
      </x:c>
      <x:c r="O5" t="str">
        <x:v>2026-03-19 12:48:10</x:v>
      </x:c>
      <x:c r="P5" t="str"/>
    </x:row>
    <x:row r="6">
      <x:c r="A6" t="str">
        <x:v>JC10324</x:v>
      </x:c>
      <x:c r="B6" t="str">
        <x:v>BKB</x:v>
      </x:c>
      <x:c r="C6" t="str">
        <x:v>FF_Fault Fix Water (Lora/Visio)</x:v>
      </x:c>
      <x:c r="D6" t="str">
        <x:v>FF10A_PT_Awaiting install by client's techie</x:v>
      </x:c>
      <x:c r="E6" t="n">
        <x:v>98</x:v>
      </x:c>
      <x:c r="F6" t="n">
        <x:v>79</x:v>
      </x:c>
      <x:c r="G6" t="str">
        <x:v>7+ Overdue</x:v>
      </x:c>
      <x:c r="H6" t="str">
        <x:v>Overdue</x:v>
      </x:c>
      <x:c r="I6" t="str">
        <x:v>Confirm install date/ETA + update JC</x:v>
      </x:c>
      <x:c r="J6" t="str">
        <x:v>Pauline Gerber</x:v>
      </x:c>
      <x:c r="K6" t="str">
        <x:v>pauline.gerber@bkb.co.za</x:v>
      </x:c>
      <x:c r="L6" t="str"/>
      <x:c r="M6" t="str">
        <x:v>C-BJK0742</x:v>
      </x:c>
      <x:c r="N6" t="str">
        <x:v>The meter for the Retail store has stopped calling in. This is just to open a new JC on Servcraft, centricity ref 593512. Visio nr #00C86A07</x:v>
      </x:c>
      <x:c r="O6" t="str">
        <x:v>2026-03-10 11:16:27</x:v>
      </x:c>
      <x:c r="P6" t="str"/>
    </x:row>
    <x:row r="7">
      <x:c r="A7" t="str">
        <x:v>JC10331</x:v>
      </x:c>
      <x:c r="B7" t="str">
        <x:v>West Street Management (Pty) Ltd</x:v>
      </x:c>
      <x:c r="C7" t="str">
        <x:v>FF_Fault Fix Water (Lora/Visio)</x:v>
      </x:c>
      <x:c r="D7" t="str">
        <x:v>FF06_FT_Quote Sent Awaiting Customer Approval</x:v>
      </x:c>
      <x:c r="E7" t="n">
        <x:v>97</x:v>
      </x:c>
      <x:c r="F7" t="n">
        <x:v>93</x:v>
      </x:c>
      <x:c r="G7" t="str">
        <x:v>7+ Overdue</x:v>
      </x:c>
      <x:c r="H7" t="str">
        <x:v>Overdue</x:v>
      </x:c>
      <x:c r="I7" t="str">
        <x:v>Follow up quote approval weekly + add JC comment</x:v>
      </x:c>
      <x:c r="J7" t="str">
        <x:v>Sharol Street Management (Pty) Ltd</x:v>
      </x:c>
      <x:c r="K7" t="str">
        <x:v>weststreet.collections@gmail.com</x:v>
      </x:c>
      <x:c r="L7" t="str">
        <x:v>0718395901</x:v>
      </x:c>
      <x:c r="M7" t="str">
        <x:v>341222, 11W715698, 181162216</x:v>
      </x:c>
      <x:c r="N7" t="str">
        <x:v>Customer notified us our readings are out. The lora has recorded no consumption</x:v>
      </x:c>
      <x:c r="O7" t="str">
        <x:v>2026-04-29 11:38:21</x:v>
      </x:c>
      <x:c r="P7" t="str"/>
    </x:row>
    <x:row r="8">
      <x:c r="A8" t="str">
        <x:v>JC10343</x:v>
      </x:c>
      <x:c r="B8" t="str">
        <x:v>Milprops 365 (Pty) Ltd</x:v>
      </x:c>
      <x:c r="C8" t="str">
        <x:v>FF_Fault Fix Water (Lora/Visio)</x:v>
      </x:c>
      <x:c r="D8" t="str">
        <x:v>FF06_FT_Quote Sent Awaiting Customer Approval</x:v>
      </x:c>
      <x:c r="E8" t="n">
        <x:v>93</x:v>
      </x:c>
      <x:c r="F8" t="n">
        <x:v>93</x:v>
      </x:c>
      <x:c r="G8" t="str">
        <x:v>7+ Overdue</x:v>
      </x:c>
      <x:c r="H8" t="str">
        <x:v>Overdue</x:v>
      </x:c>
      <x:c r="I8" t="str">
        <x:v>Follow up quote approval weekly + add JC comment</x:v>
      </x:c>
      <x:c r="J8" t="str">
        <x:v>Melissa Russell</x:v>
      </x:c>
      <x:c r="K8" t="str">
        <x:v>maintenance@mp365.co.za</x:v>
      </x:c>
      <x:c r="L8" t="str"/>
      <x:c r="M8" t="str">
        <x:v>210401848, 210401885</x:v>
      </x:c>
      <x:c r="N8" t="str">
        <x:v>Two meters for Units A07 &amp; C04 has lost comms since the beginning of the month. we need to resolve comms or quote on replacing. Please note this is prepaid so we would prefer for it to be resolved.</x:v>
      </x:c>
      <x:c r="O8" t="str">
        <x:v>2026-04-22 10:45:41</x:v>
      </x:c>
      <x:c r="P8" t="str"/>
    </x:row>
    <x:row r="9">
      <x:c r="A9" t="str">
        <x:v>JC10490</x:v>
      </x:c>
      <x:c r="B9" t="str">
        <x:v>West Street Management (Pty) Ltd</x:v>
      </x:c>
      <x:c r="C9" t="str">
        <x:v>FF_Fault Fix Water (Lora/Visio)</x:v>
      </x:c>
      <x:c r="D9" t="str">
        <x:v>FF10A_PT_Awaiting install by client's techie</x:v>
      </x:c>
      <x:c r="E9" t="n">
        <x:v>70</x:v>
      </x:c>
      <x:c r="F9" t="n">
        <x:v>29</x:v>
      </x:c>
      <x:c r="G9" t="str">
        <x:v>7+ Overdue</x:v>
      </x:c>
      <x:c r="H9" t="str">
        <x:v>Overdue</x:v>
      </x:c>
      <x:c r="I9" t="str">
        <x:v>Confirm install date/ETA + update JC</x:v>
      </x:c>
      <x:c r="J9" t="str">
        <x:v>Lillian Unknown</x:v>
      </x:c>
      <x:c r="K9" t="str">
        <x:v>toddcharterhouse@gmail.com</x:v>
      </x:c>
      <x:c r="L9" t="str">
        <x:v>0652405134</x:v>
      </x:c>
      <x:c r="M9" t="str">
        <x:v>212069480, 242016033</x:v>
      </x:c>
      <x:c r="N9" t="str">
        <x:v>Meter is still connected to a visio ( 02038797)  we need to replace with a KMP water meter.</x:v>
      </x:c>
      <x:c r="O9" t="str">
        <x:v>2026-04-22 08:26:04</x:v>
      </x:c>
      <x:c r="P9" t="str"/>
    </x:row>
    <x:row r="10">
      <x:c r="A10" t="str">
        <x:v>JC10494</x:v>
      </x:c>
      <x:c r="B10" t="str">
        <x:v>Captivate Investment Trust</x:v>
      </x:c>
      <x:c r="C10" t="str">
        <x:v>FF_Fault Fix Kamstrup Server Meter (Elec/Wat)</x:v>
      </x:c>
      <x:c r="D10" t="str">
        <x:v>FF06_FT_Quote Sent Awaiting Customer Approval</x:v>
      </x:c>
      <x:c r="E10" t="n">
        <x:v>69</x:v>
      </x:c>
      <x:c r="F10" t="n">
        <x:v>30</x:v>
      </x:c>
      <x:c r="G10" t="str">
        <x:v>7+ Overdue</x:v>
      </x:c>
      <x:c r="H10" t="str">
        <x:v>Overdue</x:v>
      </x:c>
      <x:c r="I10" t="str">
        <x:v>Follow up quote approval weekly + add JC comment</x:v>
      </x:c>
      <x:c r="J10" t="str">
        <x:v>Lindsay Vroom</x:v>
      </x:c>
      <x:c r="K10" t="str">
        <x:v>lindsayvroom@itsnet.co.za</x:v>
      </x:c>
      <x:c r="L10" t="str"/>
      <x:c r="M10" t="str">
        <x:v>6819237, 78102692</x:v>
      </x:c>
      <x:c r="N10" t="str">
        <x:v>Meter is connected to a KoCos modem and has not called in for a few days.</x:v>
      </x:c>
      <x:c r="O10" t="str">
        <x:v>2026-04-21 12:21:24</x:v>
      </x:c>
      <x:c r="P10" t="str"/>
    </x:row>
    <x:row r="11">
      <x:c r="A11" t="str">
        <x:v>JC10499</x:v>
      </x:c>
      <x:c r="B11" t="str">
        <x:v>Seven Seasons 214 (Pty) Ltd</x:v>
      </x:c>
      <x:c r="C11" t="str">
        <x:v>FF_Fault Fix Water (Lora/Visio)</x:v>
      </x:c>
      <x:c r="D11" t="str">
        <x:v>FF12.2_QT_Install Sign Off</x:v>
      </x:c>
      <x:c r="E11" t="n">
        <x:v>69</x:v>
      </x:c>
      <x:c r="F11" t="n">
        <x:v>6</x:v>
      </x:c>
      <x:c r="G11" t="str">
        <x:v>7+ Overdue</x:v>
      </x:c>
      <x:c r="H11" t="str">
        <x:v>Overdue</x:v>
      </x:c>
      <x:c r="I11" t="str">
        <x:v>Escalate to Lindy + agree action plan</x:v>
      </x:c>
      <x:c r="J11" t="str">
        <x:v>Sharon Fynn</x:v>
      </x:c>
      <x:c r="K11" t="str">
        <x:v>sharonfynn@imaginet.co.za</x:v>
      </x:c>
      <x:c r="L11" t="str">
        <x:v>2712345678</x:v>
      </x:c>
      <x:c r="M11" t="str">
        <x:v>222025119, 02016D2A, 76088556, 54043164</x:v>
      </x:c>
      <x:c r="N11" t="str">
        <x:v>Meter is still connected to a visio (02016D2A)  we need to quote on replacing...</x:v>
      </x:c>
      <x:c r="O11" t="str">
        <x:v>2026-05-15 08:38:17</x:v>
      </x:c>
      <x:c r="P11" t="str"/>
    </x:row>
    <x:row r="12">
      <x:c r="A12" t="str">
        <x:v>JC10547</x:v>
      </x:c>
      <x:c r="B12" t="str">
        <x:v>Seven Seasons 214 (Pty) Ltd</x:v>
      </x:c>
      <x:c r="C12" t="str">
        <x:v>FF_Fault Fix Kamstrup Server Meter (Elec/Wat)</x:v>
      </x:c>
      <x:c r="D12" t="str">
        <x:v>FF15.3_FT_Final invoice and check monthlies</x:v>
      </x:c>
      <x:c r="E12" t="n">
        <x:v>59</x:v>
      </x:c>
      <x:c r="F12" t="n">
        <x:v>2</x:v>
      </x:c>
      <x:c r="G12" t="str">
        <x:v>7+ Overdue</x:v>
      </x:c>
      <x:c r="H12" t="str">
        <x:v>Overdue</x:v>
      </x:c>
      <x:c r="I12" t="str">
        <x:v>Escalate to Lindy + agree action plan</x:v>
      </x:c>
      <x:c r="J12" t="str">
        <x:v>Sharon Fynn</x:v>
      </x:c>
      <x:c r="K12" t="str">
        <x:v>sharonfynn@imaginet.co.za</x:v>
      </x:c>
      <x:c r="L12" t="str">
        <x:v>2712345678</x:v>
      </x:c>
      <x:c r="M12" t="str">
        <x:v>76088541</x:v>
      </x:c>
      <x:c r="N12" t="str">
        <x:v>Meter has not called in for a while - it is an openhab so we need to resolve ...</x:v>
      </x:c>
      <x:c r="O12" t="str">
        <x:v>2026-05-20 07:15:37</x:v>
      </x:c>
      <x:c r="P12" t="str"/>
    </x:row>
    <x:row r="13">
      <x:c r="A13" t="str">
        <x:v>JC10559</x:v>
      </x:c>
      <x:c r="B13" t="str">
        <x:v>Adomix (Pty) Ltd</x:v>
      </x:c>
      <x:c r="C13" t="str">
        <x:v>FF_Fault Fix Water Kamstrup with Gateway</x:v>
      </x:c>
      <x:c r="D13" t="str">
        <x:v>FF11_PT_Could not complete reschedule</x:v>
      </x:c>
      <x:c r="E13" t="n">
        <x:v>57</x:v>
      </x:c>
      <x:c r="F13" t="n">
        <x:v>0</x:v>
      </x:c>
      <x:c r="G13" t="str">
        <x:v>7+ Overdue</x:v>
      </x:c>
      <x:c r="H13" t="str">
        <x:v>Overdue</x:v>
      </x:c>
      <x:c r="I13" t="str">
        <x:v>Escalate to Lindy + agree action plan</x:v>
      </x:c>
      <x:c r="J13" t="str">
        <x:v>Lee-Ann Stabsfield</x:v>
      </x:c>
      <x:c r="K13" t="str">
        <x:v>lee-ann@wgproperties.co.za</x:v>
      </x:c>
      <x:c r="L13" t="str">
        <x:v>0606317571</x:v>
      </x:c>
      <x:c r="M13" t="str">
        <x:v>77698169, 77698135, 77698174, 76685566, 77698171, 77698136, 77698137, MSL38426</x:v>
      </x:c>
      <x:c r="N13" t="str">
        <x:v>These meters have not called in for a few days. Please can we resolve comms</x:v>
      </x:c>
      <x:c r="O13" t="str">
        <x:v>2026-05-22 06:11:43</x:v>
      </x:c>
      <x:c r="P13" t="str"/>
    </x:row>
    <x:row r="14">
      <x:c r="A14" t="str">
        <x:v>JC10595</x:v>
      </x:c>
      <x:c r="B14" t="str">
        <x:v>Arctilogix (Pty) Ltd</x:v>
      </x:c>
      <x:c r="C14" t="str">
        <x:v>FF_Fault Fix Water (Lora/Visio)</x:v>
      </x:c>
      <x:c r="D14" t="str">
        <x:v>FF15.3_FT_Final invoice and check monthlies</x:v>
      </x:c>
      <x:c r="E14" t="n">
        <x:v>56</x:v>
      </x:c>
      <x:c r="F14" t="n">
        <x:v>6</x:v>
      </x:c>
      <x:c r="G14" t="str">
        <x:v>7+ Overdue</x:v>
      </x:c>
      <x:c r="H14" t="str">
        <x:v>Overdue</x:v>
      </x:c>
      <x:c r="I14" t="str">
        <x:v>Escalate to Lindy + agree action plan</x:v>
      </x:c>
      <x:c r="J14" t="str">
        <x:v>Wendy Stander</x:v>
      </x:c>
      <x:c r="K14" t="str">
        <x:v>wendy@wgproperties.co.za</x:v>
      </x:c>
      <x:c r="L14" t="str"/>
      <x:c r="M14" t="str">
        <x:v>C-WJK0404, 0203E9B7, 54043162</x:v>
      </x:c>
      <x:c r="N14" t="str">
        <x:v>Meter for Caltex at Willowvale still has a visio linked to it. ( 0203E9B7 ) T...</x:v>
      </x:c>
      <x:c r="O14" t="str">
        <x:v>2026-05-15 14:16:52</x:v>
      </x:c>
      <x:c r="P14" t="str"/>
    </x:row>
    <x:row r="15">
      <x:c r="A15" t="str">
        <x:v>JC10610</x:v>
      </x:c>
      <x:c r="B15" t="str">
        <x:v>BKB</x:v>
      </x:c>
      <x:c r="C15" t="str">
        <x:v>FF_Fault Fix Water (Lora/Visio)</x:v>
      </x:c>
      <x:c r="D15" t="str">
        <x:v>FF06_FT_Quote Sent Awaiting Customer Approval</x:v>
      </x:c>
      <x:c r="E15" t="n">
        <x:v>52</x:v>
      </x:c>
      <x:c r="F15" t="n">
        <x:v>38</x:v>
      </x:c>
      <x:c r="G15" t="str">
        <x:v>7+ Overdue</x:v>
      </x:c>
      <x:c r="H15" t="str">
        <x:v>Overdue</x:v>
      </x:c>
      <x:c r="I15" t="str">
        <x:v>Follow up quote approval weekly + add JC comment</x:v>
      </x:c>
      <x:c r="J15" t="str">
        <x:v>Deon Erasmus</x:v>
      </x:c>
      <x:c r="K15" t="str">
        <x:v>deon.erasmus@bkb.co.za</x:v>
      </x:c>
      <x:c r="L15" t="str">
        <x:v>0828607176</x:v>
      </x:c>
      <x:c r="M15" t="str">
        <x:v>C-WRA0703, C-WRA0698, 3143359</x:v>
      </x:c>
      <x:c r="N15" t="str">
        <x:v>Some water meters at BKB are recording zero consumption, I have been drawing ...</x:v>
      </x:c>
      <x:c r="O15" t="str">
        <x:v>2026-04-13 09:20:02</x:v>
      </x:c>
      <x:c r="P15" t="str"/>
    </x:row>
    <x:row r="16">
      <x:c r="A16" t="str">
        <x:v>JC10617</x:v>
      </x:c>
      <x:c r="B16" t="str">
        <x:v>Waterlea Dairy PTY LTD</x:v>
      </x:c>
      <x:c r="C16" t="str">
        <x:v>FF_Fault Fix Elec meter with modem</x:v>
      </x:c>
      <x:c r="D16" t="str">
        <x:v>FF03.1_PT_Awaiting Client Feedback</x:v>
      </x:c>
      <x:c r="E16" t="n">
        <x:v>51</x:v>
      </x:c>
      <x:c r="F16" t="n">
        <x:v>31</x:v>
      </x:c>
      <x:c r="G16" t="str">
        <x:v>7+ Overdue</x:v>
      </x:c>
      <x:c r="H16" t="str">
        <x:v>Overdue</x:v>
      </x:c>
      <x:c r="I16" t="str">
        <x:v>Escalate to Lindy + agree action plan</x:v>
      </x:c>
      <x:c r="J16" t="str">
        <x:v>Mark Holliday</x:v>
      </x:c>
      <x:c r="K16" t="str">
        <x:v>mark@xantium.org</x:v>
      </x:c>
      <x:c r="L16" t="str"/>
      <x:c r="M16" t="str">
        <x:v>MSK66222, 35775682</x:v>
      </x:c>
      <x:c r="N16" t="str">
        <x:v>the full load meter has not been calling in.</x:v>
      </x:c>
      <x:c r="O16" t="str">
        <x:v>2026-04-20 15:27:14</x:v>
      </x:c>
      <x:c r="P16" t="str"/>
    </x:row>
    <x:row r="17">
      <x:c r="A17" t="str">
        <x:v>JC10613</x:v>
      </x:c>
      <x:c r="B17" t="str">
        <x:v>GM Industrial Park Body Corporate (SLA)</x:v>
      </x:c>
      <x:c r="C17" t="str">
        <x:v>FF_Fault Fix Kamstrup Server Meter (Elec/Wat)</x:v>
      </x:c>
      <x:c r="D17" t="str">
        <x:v>FF02.2_PT_Further Investigations</x:v>
      </x:c>
      <x:c r="E17" t="n">
        <x:v>51</x:v>
      </x:c>
      <x:c r="F17" t="n">
        <x:v>7</x:v>
      </x:c>
      <x:c r="G17" t="str">
        <x:v>7+ Overdue</x:v>
      </x:c>
      <x:c r="H17" t="str">
        <x:v>Overdue</x:v>
      </x:c>
      <x:c r="I17" t="str">
        <x:v>Escalate to Lindy + agree action plan</x:v>
      </x:c>
      <x:c r="J17" t="str">
        <x:v>Neill Hodgskin</x:v>
      </x:c>
      <x:c r="K17" t="str">
        <x:v>maintenance@bmiza.com</x:v>
      </x:c>
      <x:c r="L17" t="str">
        <x:v>0719007429</x:v>
      </x:c>
      <x:c r="M17" t="str">
        <x:v>12992719</x:v>
      </x:c>
      <x:c r="N17" t="str">
        <x:v>This meter calls in when the date is set back manually, then a day later it is back on the problem meter list. Can we somehow resolve this for good? Refer to previous comment on JC completed by JK</x:v>
      </x:c>
      <x:c r="O17" t="str">
        <x:v>2026-05-14 15:45:08</x:v>
      </x:c>
      <x:c r="P17" t="str"/>
    </x:row>
    <x:row r="18">
      <x:c r="A18" t="str">
        <x:v>JC10634</x:v>
      </x:c>
      <x:c r="B18" t="str">
        <x:v>West Street Management (Pty) Ltd</x:v>
      </x:c>
      <x:c r="C18" t="str">
        <x:v>FF_Fault Fix Water (Lora/Visio)</x:v>
      </x:c>
      <x:c r="D18" t="str">
        <x:v>FF10A_PT_Awaiting install by client's techie</x:v>
      </x:c>
      <x:c r="E18" t="n">
        <x:v>49</x:v>
      </x:c>
      <x:c r="F18" t="n">
        <x:v>29</x:v>
      </x:c>
      <x:c r="G18" t="str">
        <x:v>7+ Overdue</x:v>
      </x:c>
      <x:c r="H18" t="str">
        <x:v>Overdue</x:v>
      </x:c>
      <x:c r="I18" t="str">
        <x:v>Confirm install date/ETA + update JC</x:v>
      </x:c>
      <x:c r="J18" t="str">
        <x:v>Lillian Unknown</x:v>
      </x:c>
      <x:c r="K18" t="str">
        <x:v>toddcharterhouse@gmail.com</x:v>
      </x:c>
      <x:c r="L18" t="str">
        <x:v>0652405134</x:v>
      </x:c>
      <x:c r="M18" t="str">
        <x:v>18741058, 222013408, 181138546</x:v>
      </x:c>
      <x:c r="N18" t="str">
        <x:v>The Newton Park main is not calling in.</x:v>
      </x:c>
      <x:c r="O18" t="str">
        <x:v>2026-04-22 08:27:05</x:v>
      </x:c>
      <x:c r="P18" t="str"/>
    </x:row>
    <x:row r="19">
      <x:c r="A19" t="str">
        <x:v>JC10655</x:v>
      </x:c>
      <x:c r="B19" t="str">
        <x:v>The Circle (Pty) Ltd</x:v>
      </x:c>
      <x:c r="C19" t="str">
        <x:v>FF_Fault Fix Water (Lora/Visio)</x:v>
      </x:c>
      <x:c r="D19" t="str">
        <x:v>FF06_FT_Quote Sent Awaiting Customer Approval</x:v>
      </x:c>
      <x:c r="E19" t="n">
        <x:v>43</x:v>
      </x:c>
      <x:c r="F19" t="n">
        <x:v>34</x:v>
      </x:c>
      <x:c r="G19" t="str">
        <x:v>7+ Overdue</x:v>
      </x:c>
      <x:c r="H19" t="str">
        <x:v>Overdue</x:v>
      </x:c>
      <x:c r="I19" t="str">
        <x:v>Follow up quote approval weekly + add JC comment</x:v>
      </x:c>
      <x:c r="J19" t="str">
        <x:v>Lize Price</x:v>
      </x:c>
      <x:c r="K19" t="str">
        <x:v>LPrice@trueprop.co.za</x:v>
      </x:c>
      <x:c r="L19" t="str">
        <x:v>0609611007</x:v>
      </x:c>
      <x:c r="M19" t="str">
        <x:v>02033DAE, C-SAG8537</x:v>
      </x:c>
      <x:c r="N19" t="str">
        <x:v>Meter is still connected to visio ( 02033DAE ) but has not recorded any consumption.</x:v>
      </x:c>
      <x:c r="O19" t="str">
        <x:v>2026-04-17 13:14:06</x:v>
      </x:c>
      <x:c r="P19" t="str"/>
    </x:row>
    <x:row r="20">
      <x:c r="A20" t="str">
        <x:v>JC10660</x:v>
      </x:c>
      <x:c r="B20" t="str">
        <x:v>Smartt Tech Solutions (Pty) Ltd</x:v>
      </x:c>
      <x:c r="C20" t="str">
        <x:v>FF_Fault Fix Kamstrup Server Meter (Elec/Wat)</x:v>
      </x:c>
      <x:c r="D20" t="str">
        <x:v>FF09.2_LT_Job Approved Send Stock</x:v>
      </x:c>
      <x:c r="E20" t="n">
        <x:v>43</x:v>
      </x:c>
      <x:c r="F20" t="n">
        <x:v>0</x:v>
      </x:c>
      <x:c r="G20" t="str">
        <x:v>7+ Overdue</x:v>
      </x:c>
      <x:c r="H20" t="str">
        <x:v>Overdue</x:v>
      </x:c>
      <x:c r="I20" t="str">
        <x:v>Escalate to Lindy + agree action plan</x:v>
      </x:c>
      <x:c r="J20" t="str">
        <x:v>Dr Forward Muchaonyerwa</x:v>
      </x:c>
      <x:c r="K20" t="str">
        <x:v>forward.mucha@skg.co.za</x:v>
      </x:c>
      <x:c r="L20" t="str">
        <x:v>0739006538</x:v>
      </x:c>
      <x:c r="M20" t="str">
        <x:v>54258004, 36401946</x:v>
      </x:c>
      <x:c r="N20" t="str">
        <x:v>Two meters at Wilsonia have stopped communicating with us.</x:v>
      </x:c>
      <x:c r="O20" t="str">
        <x:v>2026-05-21 10:08:01</x:v>
      </x:c>
      <x:c r="P20" t="str"/>
    </x:row>
    <x:row r="21">
      <x:c r="A21" t="str">
        <x:v>JC10665</x:v>
      </x:c>
      <x:c r="B21" t="str">
        <x:v>InoFort (Pty) Ltd [Textile Exchange]</x:v>
      </x:c>
      <x:c r="C21" t="str">
        <x:v>FF_Fault Fix Water (Lora/Visio)</x:v>
      </x:c>
      <x:c r="D21" t="str">
        <x:v>FF10A_PT_Awaiting install by client's techie</x:v>
      </x:c>
      <x:c r="E21" t="n">
        <x:v>41</x:v>
      </x:c>
      <x:c r="F21" t="n">
        <x:v>34</x:v>
      </x:c>
      <x:c r="G21" t="str">
        <x:v>7+ Overdue</x:v>
      </x:c>
      <x:c r="H21" t="str">
        <x:v>Overdue</x:v>
      </x:c>
      <x:c r="I21" t="str">
        <x:v>Confirm install date/ETA + update JC</x:v>
      </x:c>
      <x:c r="J21" t="str">
        <x:v>Liam Vickers</x:v>
      </x:c>
      <x:c r="K21" t="str">
        <x:v>lvickers@inospace.com</x:v>
      </x:c>
      <x:c r="L21" t="str"/>
      <x:c r="M21" t="str">
        <x:v>01FB2C8E, 232057762, 54043160</x:v>
      </x:c>
      <x:c r="N21" t="str">
        <x:v>The meter is still connected to a visio ( 01FB2C8E) and we need to quote on replacing with a KMP water meter</x:v>
      </x:c>
      <x:c r="O21" t="str">
        <x:v>2026-04-23 09:56:17</x:v>
      </x:c>
      <x:c r="P21" t="str"/>
    </x:row>
    <x:row r="22">
      <x:c r="A22" t="str">
        <x:v>JC10668</x:v>
      </x:c>
      <x:c r="B22" t="str">
        <x:v>Seven Seasons 214 (Pty) Ltd</x:v>
      </x:c>
      <x:c r="C22" t="str">
        <x:v>FF_Fault Fix Water Kamstrup with Gateway</x:v>
      </x:c>
      <x:c r="D22" t="str">
        <x:v>FF10B_PT_Schedule REM Tech installation/commission</x:v>
      </x:c>
      <x:c r="E22" t="n">
        <x:v>41</x:v>
      </x:c>
      <x:c r="F22" t="n">
        <x:v>21</x:v>
      </x:c>
      <x:c r="G22" t="str">
        <x:v>7+ Overdue</x:v>
      </x:c>
      <x:c r="H22" t="str">
        <x:v>Overdue</x:v>
      </x:c>
      <x:c r="I22" t="str">
        <x:v>Schedule/confirm tech action</x:v>
      </x:c>
      <x:c r="J22" t="str">
        <x:v>Duonette Horowitz</x:v>
      </x:c>
      <x:c r="K22" t="str">
        <x:v>admin2@wgproperties.co.za</x:v>
      </x:c>
      <x:c r="L22" t="str"/>
      <x:c r="M22" t="str">
        <x:v>68607000</x:v>
      </x:c>
      <x:c r="N22" t="str">
        <x:v>The water meter has not called in, on the 14th of last month we added an estimation, and it has not called in since</x:v>
      </x:c>
      <x:c r="O22" t="str">
        <x:v>2026-05-15 11:59:29</x:v>
      </x:c>
      <x:c r="P22" t="str"/>
    </x:row>
    <x:row r="23">
      <x:c r="A23" t="str">
        <x:v>JC10667</x:v>
      </x:c>
      <x:c r="B23" t="str">
        <x:v>Milprops 365 (Pty) Ltd</x:v>
      </x:c>
      <x:c r="C23" t="str">
        <x:v>FF_Fault Fix Water (Lora/Visio)</x:v>
      </x:c>
      <x:c r="D23" t="str">
        <x:v>FF06_FT_Quote Sent Awaiting Customer Approval</x:v>
      </x:c>
      <x:c r="E23" t="n">
        <x:v>41</x:v>
      </x:c>
      <x:c r="F23" t="n">
        <x:v>16</x:v>
      </x:c>
      <x:c r="G23" t="str">
        <x:v>7+ Overdue</x:v>
      </x:c>
      <x:c r="H23" t="str">
        <x:v>Overdue</x:v>
      </x:c>
      <x:c r="I23" t="str">
        <x:v>Follow up quote approval weekly + add JC comment</x:v>
      </x:c>
      <x:c r="J23" t="str">
        <x:v>Melissa Russell</x:v>
      </x:c>
      <x:c r="K23" t="str">
        <x:v>maintenance@mp365.co.za</x:v>
      </x:c>
      <x:c r="L23" t="str"/>
      <x:c r="M23" t="str">
        <x:v>21000232, 21000241, 21000242</x:v>
      </x:c>
      <x:c r="N23" t="str">
        <x:v>Previous JCs  on centricity (JC570285, 565033, 588407) was not repopened. Meters has not called in. Still connected to a lora's</x:v>
      </x:c>
      <x:c r="O23" t="str">
        <x:v>2026-05-05 11:14:41</x:v>
      </x:c>
      <x:c r="P23" t="str"/>
    </x:row>
    <x:row r="24">
      <x:c r="A24" t="str">
        <x:v>JC10670</x:v>
      </x:c>
      <x:c r="B24" t="str">
        <x:v>Trueprop Industrial One</x:v>
      </x:c>
      <x:c r="C24" t="str">
        <x:v>FF_Fault Fix Elec meter with modem</x:v>
      </x:c>
      <x:c r="D24" t="str">
        <x:v>FF03.1_PT_Awaiting Client Feedback</x:v>
      </x:c>
      <x:c r="E24" t="n">
        <x:v>38</x:v>
      </x:c>
      <x:c r="F24" t="n">
        <x:v>35</x:v>
      </x:c>
      <x:c r="G24" t="str">
        <x:v>7+ Overdue</x:v>
      </x:c>
      <x:c r="H24" t="str">
        <x:v>Overdue</x:v>
      </x:c>
      <x:c r="I24" t="str">
        <x:v>Escalate to Lindy + agree action plan</x:v>
      </x:c>
      <x:c r="J24" t="str">
        <x:v>Olivia Erasmus</x:v>
      </x:c>
      <x:c r="K24" t="str">
        <x:v>oerasmus@trueprop.co.za</x:v>
      </x:c>
      <x:c r="L24" t="str"/>
      <x:c r="M24" t="str">
        <x:v>34321497, 35727109, 35727082, 35724468, 35724467</x:v>
      </x:c>
      <x:c r="N24" t="str">
        <x:v>Multiple meters connected to modem (MSS51837)</x:v>
      </x:c>
      <x:c r="O24" t="str">
        <x:v>2026-04-16 14:59:06</x:v>
      </x:c>
      <x:c r="P24" t="str"/>
    </x:row>
    <x:row r="25">
      <x:c r="A25" t="str">
        <x:v>JC10677</x:v>
      </x:c>
      <x:c r="B25" t="str">
        <x:v>West Street Management (Pty) Ltd</x:v>
      </x:c>
      <x:c r="C25" t="str">
        <x:v>FF_Fault Fix Water (Lora/Visio)</x:v>
      </x:c>
      <x:c r="D25" t="str">
        <x:v>FF10A_PT_Awaiting install by client's techie</x:v>
      </x:c>
      <x:c r="E25" t="n">
        <x:v>37</x:v>
      </x:c>
      <x:c r="F25" t="n">
        <x:v>29</x:v>
      </x:c>
      <x:c r="G25" t="str">
        <x:v>7+ Overdue</x:v>
      </x:c>
      <x:c r="H25" t="str">
        <x:v>Overdue</x:v>
      </x:c>
      <x:c r="I25" t="str">
        <x:v>Confirm install date/ETA + update JC</x:v>
      </x:c>
      <x:c r="J25" t="str">
        <x:v>Lillian Unknown</x:v>
      </x:c>
      <x:c r="K25" t="str">
        <x:v>toddcharterhouse@gmail.com</x:v>
      </x:c>
      <x:c r="L25" t="str">
        <x:v>0652405134</x:v>
      </x:c>
      <x:c r="M25" t="str">
        <x:v>19A026440</x:v>
      </x:c>
      <x:c r="N25" t="str">
        <x:v>The meter rolled over and the lora is also faulty and not recording the correct consumption. There was a leak and it did not pick it up</x:v>
      </x:c>
      <x:c r="O25" t="str">
        <x:v>2026-04-22 08:27:55</x:v>
      </x:c>
      <x:c r="P25" t="str"/>
    </x:row>
    <x:row r="26">
      <x:c r="A26" t="str">
        <x:v>JC10682</x:v>
      </x:c>
      <x:c r="B26" t="str">
        <x:v>Donsure Properties (PTY) Ltd</x:v>
      </x:c>
      <x:c r="C26" t="str">
        <x:v>FF_Fault Fix Water (Lora/Visio)</x:v>
      </x:c>
      <x:c r="D26" t="str">
        <x:v>FF15.1_PT_Reschedule for a fix (issues found on setup)</x:v>
      </x:c>
      <x:c r="E26" t="n">
        <x:v>37</x:v>
      </x:c>
      <x:c r="F26" t="n">
        <x:v>6</x:v>
      </x:c>
      <x:c r="G26" t="str">
        <x:v>7+ Overdue</x:v>
      </x:c>
      <x:c r="H26" t="str">
        <x:v>Overdue</x:v>
      </x:c>
      <x:c r="I26" t="str">
        <x:v>Escalate to Lindy + agree action plan</x:v>
      </x:c>
      <x:c r="J26" t="str">
        <x:v>Nandipha Hasi</x:v>
      </x:c>
      <x:c r="K26" t="str">
        <x:v>NHasi@trueprop.co.za</x:v>
      </x:c>
      <x:c r="L26" t="str">
        <x:v>0829353214</x:v>
      </x:c>
      <x:c r="M26" t="str">
        <x:v>00C887DA, 222035328, 54043158</x:v>
      </x:c>
      <x:c r="N26" t="str">
        <x:v>Meter is still connected to a visio. We need to quote on replacing for a smart meter.</x:v>
      </x:c>
      <x:c r="O26" t="str">
        <x:v>2026-05-21 10:28:08</x:v>
      </x:c>
      <x:c r="P26" t="str"/>
    </x:row>
    <x:row r="27">
      <x:c r="A27" t="str">
        <x:v>JC10686</x:v>
      </x:c>
      <x:c r="B27" t="str">
        <x:v>West Street Management (Pty) Ltd</x:v>
      </x:c>
      <x:c r="C27" t="str">
        <x:v>FF_Fault Fix Water (Lora/Visio)</x:v>
      </x:c>
      <x:c r="D27" t="str">
        <x:v>FF10A_PT_Awaiting install by client's techie</x:v>
      </x:c>
      <x:c r="E27" t="n">
        <x:v>36</x:v>
      </x:c>
      <x:c r="F27" t="n">
        <x:v>29</x:v>
      </x:c>
      <x:c r="G27" t="str">
        <x:v>7+ Overdue</x:v>
      </x:c>
      <x:c r="H27" t="str">
        <x:v>Overdue</x:v>
      </x:c>
      <x:c r="I27" t="str">
        <x:v>Confirm install date/ETA + update JC</x:v>
      </x:c>
      <x:c r="J27" t="str">
        <x:v>Lillian Unknown</x:v>
      </x:c>
      <x:c r="K27" t="str">
        <x:v>toddcharterhouse@gmail.com</x:v>
      </x:c>
      <x:c r="L27" t="str">
        <x:v>0652405134</x:v>
      </x:c>
      <x:c r="M27" t="str">
        <x:v>191046620</x:v>
      </x:c>
      <x:c r="N27" t="str">
        <x:v>Comp Air Workshop. Lillian does not want the replace this meter immediately but some time into the future. Sending a separate quote so they can have it in the meantime.</x:v>
      </x:c>
      <x:c r="O27" t="str">
        <x:v>2026-04-22 08:29:51</x:v>
      </x:c>
      <x:c r="P27" t="str"/>
    </x:row>
    <x:row r="28">
      <x:c r="A28" t="str">
        <x:v>JC10687</x:v>
      </x:c>
      <x:c r="B28" t="str">
        <x:v>Lumibiz (PTY) Ltd</x:v>
      </x:c>
      <x:c r="C28" t="str">
        <x:v>FF_Fault Fix Water (Lora/Visio)</x:v>
      </x:c>
      <x:c r="D28" t="str">
        <x:v>FF06_FT_Quote Sent Awaiting Customer Approval</x:v>
      </x:c>
      <x:c r="E28" t="n">
        <x:v>36</x:v>
      </x:c>
      <x:c r="F28" t="n">
        <x:v>16</x:v>
      </x:c>
      <x:c r="G28" t="str">
        <x:v>7+ Overdue</x:v>
      </x:c>
      <x:c r="H28" t="str">
        <x:v>Overdue</x:v>
      </x:c>
      <x:c r="I28" t="str">
        <x:v>Follow up quote approval weekly + add JC comment</x:v>
      </x:c>
      <x:c r="J28" t="str">
        <x:v>Abraham Marais</x:v>
      </x:c>
      <x:c r="K28" t="str">
        <x:v>abraham@fvcec.co.za</x:v>
      </x:c>
      <x:c r="L28" t="str">
        <x:v>0836318822</x:v>
      </x:c>
      <x:c r="M28" t="str">
        <x:v>020148C4, 201112879</x:v>
      </x:c>
      <x:c r="N28" t="str">
        <x:v>Meter is still connected to a visio and it has stopped communicating with us. We need to quote on replacing the meter with a smart meter.</x:v>
      </x:c>
      <x:c r="O28" t="str">
        <x:v>2026-05-05 11:44:55</x:v>
      </x:c>
      <x:c r="P28" t="str"/>
    </x:row>
    <x:row r="29">
      <x:c r="A29" t="str">
        <x:v>JC10704</x:v>
      </x:c>
      <x:c r="B29" t="str">
        <x:v>Vestspruit Suites (Pty) Ltd</x:v>
      </x:c>
      <x:c r="C29" t="str">
        <x:v>FF_Fault Fix Water (Lora/Visio)</x:v>
      </x:c>
      <x:c r="D29" t="str">
        <x:v>FF06_FT_Quote Sent Awaiting Customer Approval</x:v>
      </x:c>
      <x:c r="E29" t="n">
        <x:v>31</x:v>
      </x:c>
      <x:c r="F29" t="n">
        <x:v>29</x:v>
      </x:c>
      <x:c r="G29" t="str">
        <x:v>7+ Overdue</x:v>
      </x:c>
      <x:c r="H29" t="str">
        <x:v>Overdue</x:v>
      </x:c>
      <x:c r="I29" t="str">
        <x:v>Follow up quote approval weekly + add JC comment</x:v>
      </x:c>
      <x:c r="J29" t="str">
        <x:v>Tsolofelo Makola</x:v>
      </x:c>
      <x:c r="K29" t="str">
        <x:v>tmakola@trueprop.co.za</x:v>
      </x:c>
      <x:c r="L29" t="str">
        <x:v>0836265352</x:v>
      </x:c>
      <x:c r="M29" t="str">
        <x:v>20704043</x:v>
      </x:c>
      <x:c r="N29" t="str">
        <x:v>The main muni check is not recording any consumption. I suspect the lora has failed.</x:v>
      </x:c>
      <x:c r="O29" t="str">
        <x:v>2026-04-22 12:13:42</x:v>
      </x:c>
      <x:c r="P29" t="str"/>
    </x:row>
    <x:row r="30">
      <x:c r="A30" t="str">
        <x:v>JC10705</x:v>
      </x:c>
      <x:c r="B30" t="str">
        <x:v>Nu-Sa Prop (Pty) Ltd</x:v>
      </x:c>
      <x:c r="C30" t="str">
        <x:v>FF_Fault Fix Water (Lora/Visio)</x:v>
      </x:c>
      <x:c r="D30" t="str">
        <x:v>FF06_FT_Quote Sent Awaiting Customer Approval</x:v>
      </x:c>
      <x:c r="E30" t="n">
        <x:v>31</x:v>
      </x:c>
      <x:c r="F30" t="n">
        <x:v>29</x:v>
      </x:c>
      <x:c r="G30" t="str">
        <x:v>7+ Overdue</x:v>
      </x:c>
      <x:c r="H30" t="str">
        <x:v>Overdue</x:v>
      </x:c>
      <x:c r="I30" t="str">
        <x:v>Follow up quote approval weekly + add JC comment</x:v>
      </x:c>
      <x:c r="J30" t="str">
        <x:v>Sharon Fynn</x:v>
      </x:c>
      <x:c r="K30" t="str">
        <x:v>sharonfynn@imaginet.co.za</x:v>
      </x:c>
      <x:c r="L30" t="str">
        <x:v>0832579955</x:v>
      </x:c>
      <x:c r="M30" t="str">
        <x:v>232032745</x:v>
      </x:c>
      <x:c r="N30" t="str">
        <x:v>The meter at Transbrikpark has not called in.</x:v>
      </x:c>
      <x:c r="O30" t="str">
        <x:v>2026-04-22 12:25:49</x:v>
      </x:c>
      <x:c r="P30" t="str"/>
    </x:row>
    <x:row r="31">
      <x:c r="A31" t="str">
        <x:v>JC10701</x:v>
      </x:c>
      <x:c r="B31" t="str">
        <x:v>Caperfield Investments (Pty) Ltd</x:v>
      </x:c>
      <x:c r="C31" t="str">
        <x:v>FF_Fault Fix Water (Lora/Visio)</x:v>
      </x:c>
      <x:c r="D31" t="str">
        <x:v>FF06_FT_Quote Sent Awaiting Customer Approval</x:v>
      </x:c>
      <x:c r="E31" t="n">
        <x:v>31</x:v>
      </x:c>
      <x:c r="F31" t="n">
        <x:v>16</x:v>
      </x:c>
      <x:c r="G31" t="str">
        <x:v>7+ Overdue</x:v>
      </x:c>
      <x:c r="H31" t="str">
        <x:v>Overdue</x:v>
      </x:c>
      <x:c r="I31" t="str">
        <x:v>Follow up quote approval weekly + add JC comment</x:v>
      </x:c>
      <x:c r="J31" t="str">
        <x:v>Melissa Russell</x:v>
      </x:c>
      <x:c r="K31" t="str">
        <x:v>maintenance@mp365.co.za</x:v>
      </x:c>
      <x:c r="L31" t="str"/>
      <x:c r="M31" t="str">
        <x:v>210401821</x:v>
      </x:c>
      <x:c r="N31" t="str">
        <x:v>The meter has stopped communicating since the 16th. It is a PP meter, so we need to get it sorted asap.</x:v>
      </x:c>
      <x:c r="O31" t="str">
        <x:v>2026-05-05 10:36:39</x:v>
      </x:c>
      <x:c r="P31" t="str"/>
    </x:row>
    <x:row r="32">
      <x:c r="A32" t="str">
        <x:v>JC10700</x:v>
      </x:c>
      <x:c r="B32" t="str">
        <x:v>PE Fishing Enterprises (Pty) Ltd</x:v>
      </x:c>
      <x:c r="C32" t="str">
        <x:v>FF_Fault Fix Kamstrup Server Meter (Elec/Wat)</x:v>
      </x:c>
      <x:c r="D32" t="str">
        <x:v>FF10B_PT_Schedule REM Tech installation/commission</x:v>
      </x:c>
      <x:c r="E32" t="n">
        <x:v>31</x:v>
      </x:c>
      <x:c r="F32" t="n">
        <x:v>14</x:v>
      </x:c>
      <x:c r="G32" t="str">
        <x:v>7+ Overdue</x:v>
      </x:c>
      <x:c r="H32" t="str">
        <x:v>Overdue</x:v>
      </x:c>
      <x:c r="I32" t="str">
        <x:v>Schedule/confirm tech action</x:v>
      </x:c>
      <x:c r="J32" t="str">
        <x:v>Abraham Marais</x:v>
      </x:c>
      <x:c r="K32" t="str">
        <x:v>abraham@fvcec.co.za</x:v>
      </x:c>
      <x:c r="L32" t="str">
        <x:v>0836318822</x:v>
      </x:c>
      <x:c r="M32" t="str">
        <x:v>24721480</x:v>
      </x:c>
      <x:c r="N32" t="str">
        <x:v>24721480 has not called. I will estimate it now till the 17th of April. Billing due 19th.</x:v>
      </x:c>
      <x:c r="O32" t="str">
        <x:v>2026-05-18 13:05:43</x:v>
      </x:c>
      <x:c r="P32" t="str"/>
    </x:row>
    <x:row r="33">
      <x:c r="A33" t="str">
        <x:v>JC10711</x:v>
      </x:c>
      <x:c r="B33" t="str">
        <x:v>Autobahn Properties (Pty) Ltd</x:v>
      </x:c>
      <x:c r="C33" t="str">
        <x:v>FF_Fault Fix Kamstrup Server Meter (Elec/Wat)</x:v>
      </x:c>
      <x:c r="D33" t="str">
        <x:v>FF10B_PT_Schedule REM Tech installation/commission</x:v>
      </x:c>
      <x:c r="E33" t="n">
        <x:v>30</x:v>
      </x:c>
      <x:c r="F33" t="n">
        <x:v>29</x:v>
      </x:c>
      <x:c r="G33" t="str">
        <x:v>7+ Overdue</x:v>
      </x:c>
      <x:c r="H33" t="str">
        <x:v>Overdue</x:v>
      </x:c>
      <x:c r="I33" t="str">
        <x:v>Schedule/confirm tech action</x:v>
      </x:c>
      <x:c r="J33" t="str">
        <x:v>Sarah Lower</x:v>
      </x:c>
      <x:c r="K33" t="str">
        <x:v>accounts3@bmiza.com</x:v>
      </x:c>
      <x:c r="L33" t="str"/>
      <x:c r="M33" t="str">
        <x:v>88101104, 18130576, 18130591, 31505126</x:v>
      </x:c>
      <x:c r="N33" t="str">
        <x:v>All meters connected to modem are down. ( MSC30028 )</x:v>
      </x:c>
      <x:c r="O33" t="str">
        <x:v>2026-05-21 09:21:36</x:v>
      </x:c>
      <x:c r="P33" t="str"/>
    </x:row>
    <x:row r="34">
      <x:c r="A34" t="str">
        <x:v>JC10708</x:v>
      </x:c>
      <x:c r="B34" t="str">
        <x:v>The Circle (Pty) Ltd</x:v>
      </x:c>
      <x:c r="C34" t="str">
        <x:v>FF_Fault Fix Water (Lora/Visio)</x:v>
      </x:c>
      <x:c r="D34" t="str">
        <x:v>FF06_FT_Quote Sent Awaiting Customer Approval</x:v>
      </x:c>
      <x:c r="E34" t="n">
        <x:v>30</x:v>
      </x:c>
      <x:c r="F34" t="n">
        <x:v>14</x:v>
      </x:c>
      <x:c r="G34" t="str">
        <x:v>7+ Overdue</x:v>
      </x:c>
      <x:c r="H34" t="str">
        <x:v>Overdue</x:v>
      </x:c>
      <x:c r="I34" t="str">
        <x:v>Follow up quote approval weekly + add JC comment</x:v>
      </x:c>
      <x:c r="J34" t="str">
        <x:v>Lize Price</x:v>
      </x:c>
      <x:c r="K34" t="str">
        <x:v>LPrice@trueprop.co.za</x:v>
      </x:c>
      <x:c r="L34" t="str">
        <x:v>0609611007</x:v>
      </x:c>
      <x:c r="M34" t="str">
        <x:v>C-SAG8633</x:v>
      </x:c>
      <x:c r="N34" t="str">
        <x:v>Meter is still connected to a visio  ( 028EB317 ) we need to quote on replacing with a smart meter</x:v>
      </x:c>
      <x:c r="O34" t="str">
        <x:v>2026-05-07 14:45:28</x:v>
      </x:c>
      <x:c r="P34" t="str"/>
    </x:row>
    <x:row r="35">
      <x:c r="A35" t="str">
        <x:v>JC10707</x:v>
      </x:c>
      <x:c r="B35" t="str">
        <x:v>Beer Properties (Pty) Ltd</x:v>
      </x:c>
      <x:c r="C35" t="str">
        <x:v>FF_Fault Fix Elec meter with modem</x:v>
      </x:c>
      <x:c r="D35" t="str">
        <x:v>FF13_LT_Update Stock Used</x:v>
      </x:c>
      <x:c r="E35" t="n">
        <x:v>30</x:v>
      </x:c>
      <x:c r="F35" t="n">
        <x:v>9</x:v>
      </x:c>
      <x:c r="G35" t="str">
        <x:v>7+ Overdue</x:v>
      </x:c>
      <x:c r="H35" t="str">
        <x:v>Overdue</x:v>
      </x:c>
      <x:c r="I35" t="str">
        <x:v>Escalate to Lindy + agree action plan</x:v>
      </x:c>
      <x:c r="J35" t="str">
        <x:v>Yolande Potgieter</x:v>
      </x:c>
      <x:c r="K35" t="str">
        <x:v>yolande@thebeergroup.co.za</x:v>
      </x:c>
      <x:c r="L35" t="str">
        <x:v>0466362894</x:v>
      </x:c>
      <x:c r="M35" t="str">
        <x:v>68108957</x:v>
      </x:c>
      <x:c r="N35" t="str">
        <x:v>The meter has lost communication with Scada, please resolve.</x:v>
      </x:c>
      <x:c r="O35" t="str">
        <x:v>2026-05-12 14:49:04</x:v>
      </x:c>
      <x:c r="P35" t="str"/>
    </x:row>
    <x:row r="36">
      <x:c r="A36" t="str">
        <x:v>JC10713</x:v>
      </x:c>
      <x:c r="B36" t="str">
        <x:v>Moneyline 553 (Pty) Ltd</x:v>
      </x:c>
      <x:c r="C36" t="str">
        <x:v>FF_Fault Fix Elec meter with modem</x:v>
      </x:c>
      <x:c r="D36" t="str">
        <x:v>FF12.1_PT_Install complete capture info</x:v>
      </x:c>
      <x:c r="E36" t="n">
        <x:v>30</x:v>
      </x:c>
      <x:c r="F36" t="n">
        <x:v>2</x:v>
      </x:c>
      <x:c r="G36" t="str">
        <x:v>7+ Overdue</x:v>
      </x:c>
      <x:c r="H36" t="str">
        <x:v>Overdue</x:v>
      </x:c>
      <x:c r="I36" t="str">
        <x:v>Escalate to Lindy + agree action plan</x:v>
      </x:c>
      <x:c r="J36" t="str">
        <x:v>Tarryn Jenkins</x:v>
      </x:c>
      <x:c r="K36" t="str">
        <x:v>tarryn@globalbusiness.co.za</x:v>
      </x:c>
      <x:c r="L36" t="str">
        <x:v>0729723591</x:v>
      </x:c>
      <x:c r="M36" t="str">
        <x:v>38134446</x:v>
      </x:c>
      <x:c r="N36" t="str">
        <x:v>Meter connected ( MGC0981)</x:v>
      </x:c>
      <x:c r="O36" t="str">
        <x:v>2026-05-19 11:05:23</x:v>
      </x:c>
      <x:c r="P36" t="str"/>
    </x:row>
    <x:row r="37">
      <x:c r="A37" t="str">
        <x:v>JC10730</x:v>
      </x:c>
      <x:c r="B37" t="str">
        <x:v>Derprops 113 (Pty) Ltd</x:v>
      </x:c>
      <x:c r="C37" t="str">
        <x:v>FF_Fault Fix Elec meter with modem</x:v>
      </x:c>
      <x:c r="D37" t="str">
        <x:v>FF03.1_PT_Awaiting Client Feedback</x:v>
      </x:c>
      <x:c r="E37" t="n">
        <x:v>27</x:v>
      </x:c>
      <x:c r="F37" t="n">
        <x:v>27</x:v>
      </x:c>
      <x:c r="G37" t="str">
        <x:v>7+ Overdue</x:v>
      </x:c>
      <x:c r="H37" t="str">
        <x:v>Overdue</x:v>
      </x:c>
      <x:c r="I37" t="str">
        <x:v>Escalate to Lindy + agree action plan</x:v>
      </x:c>
      <x:c r="J37" t="str">
        <x:v>Christiaan Rust</x:v>
      </x:c>
      <x:c r="K37" t="str">
        <x:v>christiaan@neulux.co.za</x:v>
      </x:c>
      <x:c r="L37" t="str">
        <x:v>0824630862</x:v>
      </x:c>
      <x:c r="M37" t="str">
        <x:v>35778903, 35779552, 35779553, 35779550, 35266734, 35266685, 35266684</x:v>
      </x:c>
      <x:c r="N37" t="str">
        <x:v>Multiple meters connected to the site is down. Please resolve comms</x:v>
      </x:c>
      <x:c r="O37" t="str">
        <x:v>2026-04-24 10:44:34</x:v>
      </x:c>
      <x:c r="P37" t="str"/>
    </x:row>
    <x:row r="38">
      <x:c r="A38" t="str">
        <x:v>JC10735</x:v>
      </x:c>
      <x:c r="B38" t="str">
        <x:v>Lumibiz (PTY) Ltd</x:v>
      </x:c>
      <x:c r="C38" t="str">
        <x:v>FF_Fault Fix Water (Lora/Visio)</x:v>
      </x:c>
      <x:c r="D38" t="str">
        <x:v>FF06_FT_Quote Sent Awaiting Customer Approval</x:v>
      </x:c>
      <x:c r="E38" t="n">
        <x:v>27</x:v>
      </x:c>
      <x:c r="F38" t="n">
        <x:v>16</x:v>
      </x:c>
      <x:c r="G38" t="str">
        <x:v>7+ Overdue</x:v>
      </x:c>
      <x:c r="H38" t="str">
        <x:v>Overdue</x:v>
      </x:c>
      <x:c r="I38" t="str">
        <x:v>Follow up quote approval weekly + add JC comment</x:v>
      </x:c>
      <x:c r="J38" t="str">
        <x:v>Abraham Marais</x:v>
      </x:c>
      <x:c r="K38" t="str">
        <x:v>abraham@fvcec.co.za</x:v>
      </x:c>
      <x:c r="L38" t="str">
        <x:v>0836318822</x:v>
      </x:c>
      <x:c r="M38" t="str">
        <x:v>19725069</x:v>
      </x:c>
      <x:c r="N38" t="str">
        <x:v>Meter has been down for 3 days - gateway is up, but the lora shows offline. P...</x:v>
      </x:c>
      <x:c r="O38" t="str">
        <x:v>2026-05-05 11:44:43</x:v>
      </x:c>
      <x:c r="P38" t="str"/>
    </x:row>
    <x:row r="39">
      <x:c r="A39" t="str">
        <x:v>JC10732</x:v>
      </x:c>
      <x:c r="B39" t="str">
        <x:v>Trueprop Facilities (Pty) Ltd</x:v>
      </x:c>
      <x:c r="C39" t="str">
        <x:v>FF_Fault Fix Water (Lora/Visio)</x:v>
      </x:c>
      <x:c r="D39" t="str">
        <x:v>FF10A_PT_Awaiting install by client's techie</x:v>
      </x:c>
      <x:c r="E39" t="n">
        <x:v>27</x:v>
      </x:c>
      <x:c r="F39" t="n">
        <x:v>3</x:v>
      </x:c>
      <x:c r="G39" t="str">
        <x:v>7+ Overdue</x:v>
      </x:c>
      <x:c r="H39" t="str">
        <x:v>Overdue</x:v>
      </x:c>
      <x:c r="I39" t="str">
        <x:v>Confirm install date/ETA + update JC</x:v>
      </x:c>
      <x:c r="J39" t="str">
        <x:v>Amaara Khan (32 Dyer)</x:v>
      </x:c>
      <x:c r="K39" t="str">
        <x:v>akhan@trueprop.co.za</x:v>
      </x:c>
      <x:c r="L39" t="str">
        <x:v>0437000160</x:v>
      </x:c>
      <x:c r="M39" t="str">
        <x:v>01FBF93F, C-VKE6098</x:v>
      </x:c>
      <x:c r="N39" t="str">
        <x:v>Meter is still connected to a visio ( 01FBF93F ) and has now lost connectivity</x:v>
      </x:c>
      <x:c r="O39" t="str">
        <x:v>2026-05-18 16:11:03</x:v>
      </x:c>
      <x:c r="P39" t="str"/>
    </x:row>
    <x:row r="40">
      <x:c r="A40" t="str">
        <x:v>JC10763</x:v>
      </x:c>
      <x:c r="B40" t="str">
        <x:v>St Giles House (Pty) Ltd</x:v>
      </x:c>
      <x:c r="C40" t="str">
        <x:v>FF_Fault Fix Water (Lora/Visio)</x:v>
      </x:c>
      <x:c r="D40" t="str">
        <x:v>FF06_FT_Quote Sent Awaiting Customer Approval</x:v>
      </x:c>
      <x:c r="E40" t="n">
        <x:v>23</x:v>
      </x:c>
      <x:c r="F40" t="n">
        <x:v>14</x:v>
      </x:c>
      <x:c r="G40" t="str">
        <x:v>7+ Overdue</x:v>
      </x:c>
      <x:c r="H40" t="str">
        <x:v>Overdue</x:v>
      </x:c>
      <x:c r="I40" t="str">
        <x:v>Follow up quote approval weekly + add JC comment</x:v>
      </x:c>
      <x:c r="J40" t="str">
        <x:v>Siyabonga Holoshe (Property Manager - 3 Factory)</x:v>
      </x:c>
      <x:c r="K40" t="str">
        <x:v>shololoshe@trueprop.co.za</x:v>
      </x:c>
      <x:c r="L40" t="str">
        <x:v>0716883879</x:v>
      </x:c>
      <x:c r="M40" t="str">
        <x:v>2145003748</x:v>
      </x:c>
      <x:c r="N40" t="str">
        <x:v>2145003748 not calling in. Muni Check meter, cannot be estimated. Billing due...</x:v>
      </x:c>
      <x:c r="O40" t="str">
        <x:v>2026-05-07 14:58:42</x:v>
      </x:c>
      <x:c r="P40" t="str"/>
    </x:row>
    <x:row r="41">
      <x:c r="A41" t="str">
        <x:v>JC10765</x:v>
      </x:c>
      <x:c r="B41" t="str">
        <x:v>InoFort Proprietary Limited [Island Works]</x:v>
      </x:c>
      <x:c r="C41" t="str">
        <x:v>FF_Fault Fix Elec meter with modem</x:v>
      </x:c>
      <x:c r="D41" t="str">
        <x:v>FF09.2_LT_Job Approved Send Stock</x:v>
      </x:c>
      <x:c r="E41" t="n">
        <x:v>22</x:v>
      </x:c>
      <x:c r="F41" t="n">
        <x:v>1</x:v>
      </x:c>
      <x:c r="G41" t="str">
        <x:v>7+ Overdue</x:v>
      </x:c>
      <x:c r="H41" t="str">
        <x:v>Overdue</x:v>
      </x:c>
      <x:c r="I41" t="str">
        <x:v>Escalate to Lindy + agree action plan</x:v>
      </x:c>
      <x:c r="J41" t="str">
        <x:v>Simphiwe Phelo</x:v>
      </x:c>
      <x:c r="K41" t="str">
        <x:v>spehlo@inospace.com</x:v>
      </x:c>
      <x:c r="L41" t="str">
        <x:v>0681180671</x:v>
      </x:c>
      <x:c r="M41" t="str">
        <x:v>48123813, 48128064, MSS57409, 32910683, MSS66634</x:v>
      </x:c>
      <x:c r="N41" t="str">
        <x:v>48128064 + 48123813 connected to modem MSS57409 are not calling in. Think it ...</x:v>
      </x:c>
      <x:c r="O41" t="str">
        <x:v>2026-05-20 14:05:17</x:v>
      </x:c>
      <x:c r="P41" t="str"/>
    </x:row>
    <x:row r="42">
      <x:c r="A42" t="str">
        <x:v>JC10782</x:v>
      </x:c>
      <x:c r="B42" t="str">
        <x:v>Ritzshelf 59 (Pty) Ltd</x:v>
      </x:c>
      <x:c r="C42" t="str">
        <x:v>FF_Fault Fix Elec meter with modem</x:v>
      </x:c>
      <x:c r="D42" t="str">
        <x:v>FF03.1_PT_Awaiting Client Feedback</x:v>
      </x:c>
      <x:c r="E42" t="n">
        <x:v>17</x:v>
      </x:c>
      <x:c r="F42" t="n">
        <x:v>15</x:v>
      </x:c>
      <x:c r="G42" t="str">
        <x:v>7+ Overdue</x:v>
      </x:c>
      <x:c r="H42" t="str">
        <x:v>Overdue</x:v>
      </x:c>
      <x:c r="I42" t="str">
        <x:v>Escalate to Lindy + agree action plan</x:v>
      </x:c>
      <x:c r="J42" t="str">
        <x:v>Wendy Stander</x:v>
      </x:c>
      <x:c r="K42" t="str">
        <x:v>wendy@wgproperties.co.za</x:v>
      </x:c>
      <x:c r="L42" t="str"/>
      <x:c r="M42" t="str">
        <x:v>MSK79585, 36402013</x:v>
      </x:c>
      <x:c r="N42" t="str">
        <x:v>Meter has been down for a while. Please can we fault fix</x:v>
      </x:c>
      <x:c r="O42" t="str">
        <x:v>2026-05-06 09:16:38</x:v>
      </x:c>
      <x:c r="P42" t="str"/>
    </x:row>
    <x:row r="43">
      <x:c r="A43" t="str">
        <x:v>JC10781</x:v>
      </x:c>
      <x:c r="B43" t="str">
        <x:v>Styleprops 163 (Pty) Ltd</x:v>
      </x:c>
      <x:c r="C43" t="str">
        <x:v>FF_Fault Fix Water (Lora/Visio)</x:v>
      </x:c>
      <x:c r="D43" t="str">
        <x:v>FF10A_PT_Awaiting install by client's techie</x:v>
      </x:c>
      <x:c r="E43" t="n">
        <x:v>17</x:v>
      </x:c>
      <x:c r="F43" t="n">
        <x:v>7</x:v>
      </x:c>
      <x:c r="G43" t="str">
        <x:v>7+ Overdue</x:v>
      </x:c>
      <x:c r="H43" t="str">
        <x:v>Overdue</x:v>
      </x:c>
      <x:c r="I43" t="str">
        <x:v>Confirm install date/ETA + update JC</x:v>
      </x:c>
      <x:c r="J43" t="str">
        <x:v>Wendy Stander</x:v>
      </x:c>
      <x:c r="K43" t="str">
        <x:v>wendy@wgproperties.co.za</x:v>
      </x:c>
      <x:c r="L43" t="str">
        <x:v>0833949719</x:v>
      </x:c>
      <x:c r="M43" t="str">
        <x:v>00C652C7, C-VAB3321, C-VJK6249, 028EB78F, 54043183, 54043184</x:v>
      </x:c>
      <x:c r="N43" t="str">
        <x:v>The meter is still connected to a visio (00C652C7) The screen is completely black so our assumption is the visio is dead. Billing due on the 14th</x:v>
      </x:c>
      <x:c r="O43" t="str">
        <x:v>2026-05-14 11:58:28</x:v>
      </x:c>
      <x:c r="P43" t="str"/>
    </x:row>
    <x:row r="44">
      <x:c r="A44" t="str">
        <x:v>JC10779</x:v>
      </x:c>
      <x:c r="B44" t="str">
        <x:v>Wild Oke (Pty) Ltd</x:v>
      </x:c>
      <x:c r="C44" t="str">
        <x:v>FF_Fault Fix Water (Lora/Visio)</x:v>
      </x:c>
      <x:c r="D44" t="str">
        <x:v>FF06_FT_Quote Sent Awaiting Customer Approval</x:v>
      </x:c>
      <x:c r="E44" t="n">
        <x:v>17</x:v>
      </x:c>
      <x:c r="F44" t="n">
        <x:v>0</x:v>
      </x:c>
      <x:c r="G44" t="str">
        <x:v>7+ Overdue</x:v>
      </x:c>
      <x:c r="H44" t="str">
        <x:v>Overdue</x:v>
      </x:c>
      <x:c r="I44" t="str">
        <x:v>Follow up quote approval weekly + add JC comment</x:v>
      </x:c>
      <x:c r="J44" t="str">
        <x:v>Rolene </x:v>
      </x:c>
      <x:c r="K44" t="str">
        <x:v>rentals@remaxfrontier.co.za</x:v>
      </x:c>
      <x:c r="L44" t="str"/>
      <x:c r="M44" t="str">
        <x:v>230037725</x:v>
      </x:c>
      <x:c r="N44" t="str">
        <x:v>The meter has not been calling in for a while. We had an open JC on Centricit...</x:v>
      </x:c>
      <x:c r="O44" t="str">
        <x:v>2026-05-21 09:57:51</x:v>
      </x:c>
      <x:c r="P44" t="str"/>
    </x:row>
    <x:row r="45">
      <x:c r="A45" t="str">
        <x:v>JC10797</x:v>
      </x:c>
      <x:c r="B45" t="str">
        <x:v>Inofort Proprietary Limited [Wynberg Workshops Block C]</x:v>
      </x:c>
      <x:c r="C45" t="str">
        <x:v>FF_Fault Fix Kamstrup Server Meter (Elec/Wat)</x:v>
      </x:c>
      <x:c r="D45" t="str">
        <x:v>FF02.2_PT_Further Investigations</x:v>
      </x:c>
      <x:c r="E45" t="n">
        <x:v>14</x:v>
      </x:c>
      <x:c r="F45" t="n">
        <x:v>13</x:v>
      </x:c>
      <x:c r="G45" t="str">
        <x:v>7+ Overdue</x:v>
      </x:c>
      <x:c r="H45" t="str">
        <x:v>Overdue</x:v>
      </x:c>
      <x:c r="I45" t="str">
        <x:v>Escalate to Lindy + agree action plan</x:v>
      </x:c>
      <x:c r="J45" t="str">
        <x:v>Nadine Beyleveld</x:v>
      </x:c>
      <x:c r="K45" t="str">
        <x:v>nbeyleveld@inospace.com</x:v>
      </x:c>
      <x:c r="L45" t="str"/>
      <x:c r="M45" t="str">
        <x:v>34977892</x:v>
      </x:c>
      <x:c r="N45" t="str">
        <x:v>Meter for C07 is not calling in.</x:v>
      </x:c>
      <x:c r="O45" t="str">
        <x:v>2026-05-08 10:24:57</x:v>
      </x:c>
      <x:c r="P45" t="str"/>
    </x:row>
    <x:row r="46">
      <x:c r="A46" t="str">
        <x:v>JC10799</x:v>
      </x:c>
      <x:c r="B46" t="str">
        <x:v>Inospace 5 Proprietary Limited [Allandale Exchange]</x:v>
      </x:c>
      <x:c r="C46" t="str">
        <x:v>FF_Fault Fix Kamstrup Server Meter (Elec/Wat)</x:v>
      </x:c>
      <x:c r="D46" t="str">
        <x:v>FF02.2_PT_Further Investigations</x:v>
      </x:c>
      <x:c r="E46" t="n">
        <x:v>14</x:v>
      </x:c>
      <x:c r="F46" t="n">
        <x:v>13</x:v>
      </x:c>
      <x:c r="G46" t="str">
        <x:v>7+ Overdue</x:v>
      </x:c>
      <x:c r="H46" t="str">
        <x:v>Overdue</x:v>
      </x:c>
      <x:c r="I46" t="str">
        <x:v>Escalate to Lindy + agree action plan</x:v>
      </x:c>
      <x:c r="J46" t="str">
        <x:v>Charne Du Plessis</x:v>
      </x:c>
      <x:c r="K46" t="str">
        <x:v>charned@inospace.com</x:v>
      </x:c>
      <x:c r="L46" t="str">
        <x:v>0847727963</x:v>
      </x:c>
      <x:c r="M46" t="str">
        <x:v>35267518</x:v>
      </x:c>
      <x:c r="N46" t="str">
        <x:v>Meter has stopped communicating with us.</x:v>
      </x:c>
      <x:c r="O46" t="str">
        <x:v>2026-05-08 10:22:18</x:v>
      </x:c>
      <x:c r="P46" t="str"/>
    </x:row>
    <x:row r="47">
      <x:c r="A47" t="str">
        <x:v>JC10807</x:v>
      </x:c>
      <x:c r="B47" t="str">
        <x:v>InoFort (Pty) Ltd [Textile Exchange]</x:v>
      </x:c>
      <x:c r="C47" t="str">
        <x:v>FF_Fault Fix Kamstrup Server Meter (Elec/Wat)</x:v>
      </x:c>
      <x:c r="D47" t="str">
        <x:v>FF03.1_PT_Awaiting Client Feedback</x:v>
      </x:c>
      <x:c r="E47" t="n">
        <x:v>14</x:v>
      </x:c>
      <x:c r="F47" t="n">
        <x:v>10</x:v>
      </x:c>
      <x:c r="G47" t="str">
        <x:v>7+ Overdue</x:v>
      </x:c>
      <x:c r="H47" t="str">
        <x:v>Overdue</x:v>
      </x:c>
      <x:c r="I47" t="str">
        <x:v>Escalate to Lindy + agree action plan</x:v>
      </x:c>
      <x:c r="J47" t="str">
        <x:v>Liam Vickers</x:v>
      </x:c>
      <x:c r="K47" t="str">
        <x:v>lvickers@inospace.com</x:v>
      </x:c>
      <x:c r="L47" t="str"/>
      <x:c r="M47" t="str">
        <x:v>76609164</x:v>
      </x:c>
      <x:c r="N47" t="str">
        <x:v>76609164 not calling in. Billing due on the 8th.</x:v>
      </x:c>
      <x:c r="O47" t="str">
        <x:v>2026-05-11 09:18:59</x:v>
      </x:c>
      <x:c r="P47" t="str"/>
    </x:row>
    <x:row r="48">
      <x:c r="A48" t="str">
        <x:v>JC10808</x:v>
      </x:c>
      <x:c r="B48" t="str">
        <x:v>Vestspruit Suites (Pty) Ltd</x:v>
      </x:c>
      <x:c r="C48" t="str">
        <x:v>FF_Fault Fix Elec meter with modem</x:v>
      </x:c>
      <x:c r="D48" t="str">
        <x:v>FF10B_PT_Schedule REM Tech installation/commission</x:v>
      </x:c>
      <x:c r="E48" t="n">
        <x:v>13</x:v>
      </x:c>
      <x:c r="F48" t="n">
        <x:v>13</x:v>
      </x:c>
      <x:c r="G48" t="str">
        <x:v>7+ Overdue</x:v>
      </x:c>
      <x:c r="H48" t="str">
        <x:v>Overdue</x:v>
      </x:c>
      <x:c r="I48" t="str">
        <x:v>Schedule/confirm tech action</x:v>
      </x:c>
      <x:c r="J48" t="str">
        <x:v>Deon Bekker</x:v>
      </x:c>
      <x:c r="K48" t="str">
        <x:v>dbecker@trueprop.co.za</x:v>
      </x:c>
      <x:c r="L48" t="str"/>
      <x:c r="M48" t="str">
        <x:v>32911977, 36929508, 33493730, 36084626, 33493724, 33493729</x:v>
      </x:c>
      <x:c r="N48" t="str">
        <x:v>Multiple meters connected to the modem ( M31813) is down.</x:v>
      </x:c>
      <x:c r="O48" t="str">
        <x:v>2026-05-21 12:23:57</x:v>
      </x:c>
      <x:c r="P48" t="str"/>
    </x:row>
    <x:row r="49">
      <x:c r="A49" t="str">
        <x:v>JC10814</x:v>
      </x:c>
      <x:c r="B49" t="str">
        <x:v>Inrabiz Proprietary Limited [Sebenza Works]</x:v>
      </x:c>
      <x:c r="C49" t="str">
        <x:v>FF_Fault Fix Elec meter with modem</x:v>
      </x:c>
      <x:c r="D49" t="str">
        <x:v>FF03.1_PT_Awaiting Client Feedback</x:v>
      </x:c>
      <x:c r="E49" t="n">
        <x:v>10</x:v>
      </x:c>
      <x:c r="F49" t="n">
        <x:v>10</x:v>
      </x:c>
      <x:c r="G49" t="str">
        <x:v>7+ Overdue</x:v>
      </x:c>
      <x:c r="H49" t="str">
        <x:v>Overdue</x:v>
      </x:c>
      <x:c r="I49" t="str">
        <x:v>Escalate to Lindy + agree action plan</x:v>
      </x:c>
      <x:c r="J49" t="str">
        <x:v>Sharon da Silva</x:v>
      </x:c>
      <x:c r="K49" t="str">
        <x:v>sdasilva@inospace.com</x:v>
      </x:c>
      <x:c r="L49" t="str">
        <x:v>0876250490</x:v>
      </x:c>
      <x:c r="M49" t="str">
        <x:v>33493414</x:v>
      </x:c>
      <x:c r="N49" t="str">
        <x:v>The meter has a note that the load cable has been removed, but it is no longer vacant. So there is no consumption.</x:v>
      </x:c>
      <x:c r="O49" t="str">
        <x:v>2026-05-11 16:25:48</x:v>
      </x:c>
      <x:c r="P49" t="str"/>
    </x:row>
    <x:row r="50">
      <x:c r="A50" t="str">
        <x:v>JC10816</x:v>
      </x:c>
      <x:c r="B50" t="str">
        <x:v>Midgallagher Industrial Park (Pty) Ltd</x:v>
      </x:c>
      <x:c r="C50" t="str">
        <x:v>FF_Fault Fix Water Kamstrup with Gateway</x:v>
      </x:c>
      <x:c r="D50" t="str">
        <x:v>FF03.1_PT_Awaiting Client Feedback</x:v>
      </x:c>
      <x:c r="E50" t="n">
        <x:v>9</x:v>
      </x:c>
      <x:c r="F50" t="n">
        <x:v>8</x:v>
      </x:c>
      <x:c r="G50" t="str">
        <x:v>7+ Overdue</x:v>
      </x:c>
      <x:c r="H50" t="str">
        <x:v>Overdue</x:v>
      </x:c>
      <x:c r="I50" t="str">
        <x:v>Escalate to Lindy + agree action plan</x:v>
      </x:c>
      <x:c r="J50" t="str">
        <x:v>Innocent Nkondlwane</x:v>
      </x:c>
      <x:c r="K50" t="str">
        <x:v>innocentn2@servest.co.za</x:v>
      </x:c>
      <x:c r="L50" t="str">
        <x:v>0820711063</x:v>
      </x:c>
      <x:c r="M50" t="str">
        <x:v>12992737, 12992739, 12992741, 12992740</x:v>
      </x:c>
      <x:c r="N50" t="str">
        <x:v>A few meters have been down since Friday, we need to resolve comms. And these are not meters that call in sporadically.</x:v>
      </x:c>
      <x:c r="O50" t="str">
        <x:v>2026-05-13 08:56:02</x:v>
      </x:c>
      <x:c r="P50" t="str"/>
    </x:row>
    <x:row r="51">
      <x:c r="A51" t="str">
        <x:v>JC10820</x:v>
      </x:c>
      <x:c r="B51" t="str">
        <x:v>Eagle Creek Investments 319 (Pty) Ltd</x:v>
      </x:c>
      <x:c r="C51" t="str">
        <x:v>FF_Fault Fix Water Kamstrup with Gateway</x:v>
      </x:c>
      <x:c r="D51" t="str">
        <x:v>FF02.2_PT_Further Investigations</x:v>
      </x:c>
      <x:c r="E51" t="n">
        <x:v>8</x:v>
      </x:c>
      <x:c r="F51" t="n">
        <x:v>7</x:v>
      </x:c>
      <x:c r="G51" t="str">
        <x:v>7+ Overdue</x:v>
      </x:c>
      <x:c r="H51" t="str">
        <x:v>Overdue</x:v>
      </x:c>
      <x:c r="I51" t="str">
        <x:v>Escalate to Lindy + agree action plan</x:v>
      </x:c>
      <x:c r="J51" t="str">
        <x:v>Abraham Marais</x:v>
      </x:c>
      <x:c r="K51" t="str">
        <x:v>abraham@fvcec.co.za</x:v>
      </x:c>
      <x:c r="L51" t="str"/>
      <x:c r="M51" t="str">
        <x:v>54257996</x:v>
      </x:c>
      <x:c r="N51" t="str">
        <x:v>Meter is not communicating with us. Please can we resolve comms. Billing due 19th.</x:v>
      </x:c>
      <x:c r="O51" t="str">
        <x:v>2026-05-18 15:13:36</x:v>
      </x:c>
      <x:c r="P51" t="str"/>
    </x:row>
    <x:row r="52">
      <x:c r="A52" t="str">
        <x:v>JC10826</x:v>
      </x:c>
      <x:c r="B52" t="str">
        <x:v>Value Logistics (Pty) Ltd</x:v>
      </x:c>
      <x:c r="C52" t="str">
        <x:v>FF_Fault Fix Elec meter with modem</x:v>
      </x:c>
      <x:c r="D52" t="str">
        <x:v>FF10B_PT_Schedule REM Tech installation/commission</x:v>
      </x:c>
      <x:c r="E52" t="n">
        <x:v>6</x:v>
      </x:c>
      <x:c r="F52" t="n">
        <x:v>6</x:v>
      </x:c>
      <x:c r="G52" t="str">
        <x:v>Day 6 Escalate</x:v>
      </x:c>
      <x:c r="H52" t="str">
        <x:v>Escalate Today</x:v>
      </x:c>
      <x:c r="I52" t="str">
        <x:v>Schedule/confirm tech action</x:v>
      </x:c>
      <x:c r="J52" t="str">
        <x:v>Eugene Blanche</x:v>
      </x:c>
      <x:c r="K52" t="str">
        <x:v>eugeneb@wonderlandprop.co.za</x:v>
      </x:c>
      <x:c r="L52" t="str"/>
      <x:c r="M52" t="str">
        <x:v>68116776, 68116769</x:v>
      </x:c>
      <x:c r="N52" t="str">
        <x:v>Meter has not connected to us. It is connected to the modem ( MSS29997 )</x:v>
      </x:c>
      <x:c r="O52" t="str">
        <x:v>2026-05-15 09:15:50</x:v>
      </x:c>
      <x:c r="P52" t="str"/>
    </x:row>
    <x:row r="53">
      <x:c r="A53" t="str">
        <x:v>JC10837</x:v>
      </x:c>
      <x:c r="B53" t="str">
        <x:v>Donvin Properties (Pty) Ltd</x:v>
      </x:c>
      <x:c r="C53" t="str">
        <x:v>FF_Fault Fix Water Kamstrup with Gateway</x:v>
      </x:c>
      <x:c r="D53" t="str">
        <x:v>FF02.2_PT_Further Investigations</x:v>
      </x:c>
      <x:c r="E53" t="n">
        <x:v>2</x:v>
      </x:c>
      <x:c r="F53" t="n">
        <x:v>1</x:v>
      </x:c>
      <x:c r="G53" t="str">
        <x:v>0-2 Remote Window</x:v>
      </x:c>
      <x:c r="H53" t="str">
        <x:v>On Track</x:v>
      </x:c>
      <x:c r="I53" t="str">
        <x:v>Troubleshoot remotely + comment evidence</x:v>
      </x:c>
      <x:c r="J53" t="str">
        <x:v>Tracey-Lee Endley</x:v>
      </x:c>
      <x:c r="K53" t="str">
        <x:v>tendley@trueprop.co.za</x:v>
      </x:c>
      <x:c r="L53" t="str">
        <x:v>0765221269</x:v>
      </x:c>
      <x:c r="M53" t="str">
        <x:v>54043871</x:v>
      </x:c>
      <x:c r="N53" t="str">
        <x:v>The new KMP water meter has not called in, we need to resolve comms please.</x:v>
      </x:c>
      <x:c r="O53" t="str">
        <x:v>2026-05-20 08:25:08</x:v>
      </x:c>
      <x:c r="P53" t="str"/>
    </x:row>
    <x:row r="54">
      <x:c r="A54" t="str">
        <x:v>JC10838</x:v>
      </x:c>
      <x:c r="B54" t="str">
        <x:v>Callasage 15 (Pty) Ltd</x:v>
      </x:c>
      <x:c r="C54" t="str">
        <x:v>FF_Fault Fix Water Kamstrup with Gateway</x:v>
      </x:c>
      <x:c r="D54" t="str">
        <x:v>FF02.2_PT_Further Investigations</x:v>
      </x:c>
      <x:c r="E54" t="n">
        <x:v>2</x:v>
      </x:c>
      <x:c r="F54" t="n">
        <x:v>1</x:v>
      </x:c>
      <x:c r="G54" t="str">
        <x:v>0-2 Remote Window</x:v>
      </x:c>
      <x:c r="H54" t="str">
        <x:v>On Track</x:v>
      </x:c>
      <x:c r="I54" t="str">
        <x:v>Troubleshoot remotely + comment evidence</x:v>
      </x:c>
      <x:c r="J54" t="str">
        <x:v>Shane Robinson</x:v>
      </x:c>
      <x:c r="K54" t="str">
        <x:v>SRobinson@trueprop.co.za</x:v>
      </x:c>
      <x:c r="L54" t="str"/>
      <x:c r="M54" t="str">
        <x:v>24722017</x:v>
      </x:c>
      <x:c r="N54" t="str">
        <x:v>Meter is struggling with comms. We need to please solve comms.</x:v>
      </x:c>
      <x:c r="O54" t="str">
        <x:v>2026-05-20 09:13:09</x:v>
      </x:c>
      <x:c r="P54" t="str"/>
    </x:row>
    <x:row r="55">
      <x:c r="A55" t="str">
        <x:v>JC10846</x:v>
      </x:c>
      <x:c r="B55" t="str">
        <x:v>Clublink (Pty) Ltd</x:v>
      </x:c>
      <x:c r="C55" t="str">
        <x:v>FF_Fault Fix Kamstrup Server Meter (Elec/Wat)</x:v>
      </x:c>
      <x:c r="D55" t="str">
        <x:v>FF02.1_PT_Troubleshoot Remotely</x:v>
      </x:c>
      <x:c r="E55" t="n">
        <x:v>0</x:v>
      </x:c>
      <x:c r="F55" t="n">
        <x:v>0</x:v>
      </x:c>
      <x:c r="G55" t="str">
        <x:v>0-2 Remote Window</x:v>
      </x:c>
      <x:c r="H55" t="str">
        <x:v>On Track</x:v>
      </x:c>
      <x:c r="I55" t="str">
        <x:v>Troubleshoot remotely + comment evidence</x:v>
      </x:c>
      <x:c r="J55" t="str">
        <x:v>Yolande Potgieter</x:v>
      </x:c>
      <x:c r="K55" t="str">
        <x:v>Yolande@thebeergroup.co.za</x:v>
      </x:c>
      <x:c r="L55" t="str">
        <x:v>0466362894</x:v>
      </x:c>
      <x:c r="M55" t="str">
        <x:v>36114389</x:v>
      </x:c>
      <x:c r="N55" t="str">
        <x:v>Meter in the kiosk is not calling in.</x:v>
      </x:c>
      <x:c r="O55" t="str">
        <x:v>2026-05-21 08:36:34</x:v>
      </x:c>
      <x:c r="P55" t="str"/>
    </x:row>
    <x:row r="56">
      <x:c r="A56" t="str">
        <x:v>JC10847</x:v>
      </x:c>
      <x:c r="B56" t="str">
        <x:v>Donvin Properties (Pty) Ltd</x:v>
      </x:c>
      <x:c r="C56" t="str">
        <x:v>FF_Fault Fix Water Kamstrup with Gateway</x:v>
      </x:c>
      <x:c r="D56" t="str">
        <x:v>FF02.1_PT_Troubleshoot Remotely</x:v>
      </x:c>
      <x:c r="E56" t="n">
        <x:v>0</x:v>
      </x:c>
      <x:c r="F56" t="n">
        <x:v>0</x:v>
      </x:c>
      <x:c r="G56" t="str">
        <x:v>0-2 Remote Window</x:v>
      </x:c>
      <x:c r="H56" t="str">
        <x:v>On Track</x:v>
      </x:c>
      <x:c r="I56" t="str">
        <x:v>Troubleshoot remotely + comment evidence</x:v>
      </x:c>
      <x:c r="J56" t="str">
        <x:v>Tracey-Lee Endley</x:v>
      </x:c>
      <x:c r="K56" t="str">
        <x:v>tendley@trueprop.co.za</x:v>
      </x:c>
      <x:c r="L56" t="str">
        <x:v>0765221269</x:v>
      </x:c>
      <x:c r="M56" t="str">
        <x:v>54043871</x:v>
      </x:c>
      <x:c r="N56" t="str">
        <x:v>Some meters that have not called in, I checked on M2M and there is not consumption since the 15th</x:v>
      </x:c>
      <x:c r="O56" t="str">
        <x:v>2026-05-21 08:52:28</x:v>
      </x:c>
      <x:c r="P56" t="str"/>
    </x:row>
    <x:row r="57">
      <x:c r="A57" t="str">
        <x:v>JC10848</x:v>
      </x:c>
      <x:c r="B57" t="str">
        <x:v>Seven Seasons 214 (Pty) Ltd</x:v>
      </x:c>
      <x:c r="C57" t="str">
        <x:v>FF_Fault Fix Water Kamstrup with Gateway</x:v>
      </x:c>
      <x:c r="D57" t="str">
        <x:v>FF02.1_PT_Troubleshoot Remotely</x:v>
      </x:c>
      <x:c r="E57" t="n">
        <x:v>0</x:v>
      </x:c>
      <x:c r="F57" t="n">
        <x:v>0</x:v>
      </x:c>
      <x:c r="G57" t="str">
        <x:v>0-2 Remote Window</x:v>
      </x:c>
      <x:c r="H57" t="str">
        <x:v>On Track</x:v>
      </x:c>
      <x:c r="I57" t="str">
        <x:v>Troubleshoot remotely + comment evidence</x:v>
      </x:c>
      <x:c r="J57" t="str">
        <x:v>Sharon Fynn</x:v>
      </x:c>
      <x:c r="K57" t="str">
        <x:v>sharonfynn@imaginet.co.za</x:v>
      </x:c>
      <x:c r="L57" t="str">
        <x:v>2712345678</x:v>
      </x:c>
      <x:c r="M57" t="str">
        <x:v>12992775</x:v>
      </x:c>
      <x:c r="N57" t="str">
        <x:v>Meter has not connected in a few days. Need to resolve comms issues</x:v>
      </x:c>
      <x:c r="O57" t="str">
        <x:v>2026-05-21 08:58:18</x:v>
      </x:c>
      <x:c r="P57" t="str"/>
    </x:row>
    <x:row r="58">
      <x:c r="A58" t="str">
        <x:v>JC10852</x:v>
      </x:c>
      <x:c r="B58" t="str">
        <x:v>Inospace 2 (Pty) Ltd - Silo Exchange</x:v>
      </x:c>
      <x:c r="C58" t="str">
        <x:v>FF_Fault Fix Elec meter with modem</x:v>
      </x:c>
      <x:c r="D58" t="str">
        <x:v>FF02.1_PT_Troubleshoot Remotely</x:v>
      </x:c>
      <x:c r="E58" t="n">
        <x:v>0</x:v>
      </x:c>
      <x:c r="F58" t="n">
        <x:v>0</x:v>
      </x:c>
      <x:c r="G58" t="str">
        <x:v>0-2 Remote Window</x:v>
      </x:c>
      <x:c r="H58" t="str">
        <x:v>On Track</x:v>
      </x:c>
      <x:c r="I58" t="str">
        <x:v>Troubleshoot remotely + comment evidence</x:v>
      </x:c>
      <x:c r="J58" t="str">
        <x:v>Clinton Theys</x:v>
      </x:c>
      <x:c r="K58" t="str">
        <x:v>ctheys@inospace.com</x:v>
      </x:c>
      <x:c r="L58" t="str"/>
      <x:c r="M58" t="str">
        <x:v>6552365</x:v>
      </x:c>
      <x:c r="N58" t="str">
        <x:v>The meter connected to the modem ( MSS6384)  is not calling in</x:v>
      </x:c>
      <x:c r="O58" t="str">
        <x:v>2026-05-22 08:13:37</x:v>
      </x:c>
      <x:c r="P58" t="str"/>
    </x:row>
    <x:row r="59">
      <x:c r="A59" t="str">
        <x:v>JC10204</x:v>
      </x:c>
      <x:c r="B59" t="str">
        <x:v>Summerpride Foods (Pty) Ltd</x:v>
      </x:c>
      <x:c r="C59" t="str">
        <x:v>IN_Electrical Install (Client subbie)</x:v>
      </x:c>
      <x:c r="D59" t="str">
        <x:v>IN11.2_PT_Schedule REM Tech installation/commission</x:v>
      </x:c>
      <x:c r="E59" t="n">
        <x:v>127</x:v>
      </x:c>
      <x:c r="F59" t="n">
        <x:v>37</x:v>
      </x:c>
      <x:c r="G59" t="str">
        <x:v>Not FF focus</x:v>
      </x:c>
      <x:c r="H59" t="str">
        <x:v>Excluded</x:v>
      </x:c>
      <x:c r="I59" t="str">
        <x:v>Schedule/confirm tech action</x:v>
      </x:c>
      <x:c r="J59" t="str">
        <x:v>David Mandell</x:v>
      </x:c>
      <x:c r="K59" t="str">
        <x:v>dave@summerpride.co.za</x:v>
      </x:c>
      <x:c r="L59" t="str"/>
      <x:c r="M59" t="str"/>
      <x:c r="N59" t="str">
        <x:v>Site Retrofit
SPF is doing a retrofit and installing new Kamstrup meters to go on a DC. We are commissioning the meters. Old JC 589961 passed on to close.</x:v>
      </x:c>
      <x:c r="O59" t="str">
        <x:v>2026-04-14 12:41:24</x:v>
      </x:c>
      <x:c r="P59" t="str"/>
    </x:row>
    <x:row r="60">
      <x:c r="A60" t="str">
        <x:v>JC10223</x:v>
      </x:c>
      <x:c r="B60" t="str">
        <x:v>Richard and Roys Properties (Pty) Ltd</x:v>
      </x:c>
      <x:c r="C60" t="str">
        <x:v>IN_Electrical Install (REM Subbie)</x:v>
      </x:c>
      <x:c r="D60" t="str">
        <x:v>SI07_FT_Quote Sent Awaiting Customer Approval</x:v>
      </x:c>
      <x:c r="E60" t="n">
        <x:v>122</x:v>
      </x:c>
      <x:c r="F60" t="n">
        <x:v>69</x:v>
      </x:c>
      <x:c r="G60" t="str">
        <x:v>Not FF focus</x:v>
      </x:c>
      <x:c r="H60" t="str">
        <x:v>Excluded</x:v>
      </x:c>
      <x:c r="I60" t="str">
        <x:v>Follow up quote approval weekly + add JC comment</x:v>
      </x:c>
      <x:c r="J60" t="str">
        <x:v>Shaun Xiao</x:v>
      </x:c>
      <x:c r="K60" t="str">
        <x:v>pengfeizhiyi@hotmail.com</x:v>
      </x:c>
      <x:c r="L60" t="str">
        <x:v>0729701128</x:v>
      </x:c>
      <x:c r="M60" t="str">
        <x:v>13112924, 34619130</x:v>
      </x:c>
      <x:c r="N60" t="str">
        <x:v>Good afternoon Donovan, 
We have a total of 3 new retail stores to be metered, please see the following information as requested: 
Shop 5A - 420 Corner (This is where the two ATM's has been renovated into one shop) 
We would like to use the meter labelled as Nedbank (Ref: 1214131129245) for the new shop, This new shop is located in the space of Nedbank and ABSA combined. 
Please remove the ABSA meter (Ref: 34619130) completely as that meter will no longer be in use. 
Shop 10 - Salon Shop 
Shop 11A - Shah cell phone and accessories</x:v>
      </x:c>
      <x:c r="O60" t="str">
        <x:v>2026-03-13 12:44:03</x:v>
      </x:c>
      <x:c r="P60" t="str"/>
    </x:row>
    <x:row r="61">
      <x:c r="A61" t="str">
        <x:v>JC10287</x:v>
      </x:c>
      <x:c r="B61" t="str">
        <x:v>Inofort Proprietary Limited [Coventry Works]</x:v>
      </x:c>
      <x:c r="C61" t="str">
        <x:v>IN_Electrical Install (Client subbie)</x:v>
      </x:c>
      <x:c r="D61" t="str">
        <x:v>SI07_FT_Quote Sent Awaiting Customer Approval</x:v>
      </x:c>
      <x:c r="E61" t="n">
        <x:v>107</x:v>
      </x:c>
      <x:c r="F61" t="n">
        <x:v>105</x:v>
      </x:c>
      <x:c r="G61" t="str">
        <x:v>Not FF focus</x:v>
      </x:c>
      <x:c r="H61" t="str">
        <x:v>Excluded</x:v>
      </x:c>
      <x:c r="I61" t="str">
        <x:v>Follow up quote approval weekly + add JC comment</x:v>
      </x:c>
      <x:c r="J61" t="str">
        <x:v>Chane Du Plessis</x:v>
      </x:c>
      <x:c r="K61" t="str">
        <x:v>cduplessis@inospace.com</x:v>
      </x:c>
      <x:c r="L61" t="str"/>
      <x:c r="M61" t="str"/>
      <x:c r="N61" t="str">
        <x:v>Charné requested a quote for 2x Kamstrup meters. They are in the process of splitting Units 9 &amp; 10. Meters to be installed inside each unit.</x:v>
      </x:c>
      <x:c r="O61" t="str">
        <x:v>2026-04-24 12:58:51</x:v>
      </x:c>
      <x:c r="P61" t="str"/>
    </x:row>
    <x:row r="62">
      <x:c r="A62" t="str">
        <x:v>JC10299</x:v>
      </x:c>
      <x:c r="B62" t="str">
        <x:v>Thermelec</x:v>
      </x:c>
      <x:c r="C62" t="str">
        <x:v>IN_Electrical Install (Client subbie)</x:v>
      </x:c>
      <x:c r="D62" t="str">
        <x:v>SI07_FT_Quote Sent Awaiting Customer Approval</x:v>
      </x:c>
      <x:c r="E62" t="n">
        <x:v>104</x:v>
      </x:c>
      <x:c r="F62" t="n">
        <x:v>104</x:v>
      </x:c>
      <x:c r="G62" t="str">
        <x:v>Not FF focus</x:v>
      </x:c>
      <x:c r="H62" t="str">
        <x:v>Excluded</x:v>
      </x:c>
      <x:c r="I62" t="str">
        <x:v>Follow up quote approval weekly + add JC comment</x:v>
      </x:c>
      <x:c r="J62" t="str">
        <x:v>Mike Windsor</x:v>
      </x:c>
      <x:c r="K62" t="str">
        <x:v>mike@thermelec.co.za</x:v>
      </x:c>
      <x:c r="L62" t="str">
        <x:v>0827840191</x:v>
      </x:c>
      <x:c r="M62" t="str"/>
      <x:c r="N62" t="str">
        <x:v>Mike Windsor requested a quote on meters and modems. Meters will be installed by them. We will commission once all the meters are installed. 
Billing entity will be Khan Property Group and the quote is to go to Thermelec.
Please see completed BOQ form.</x:v>
      </x:c>
      <x:c r="O62" t="str">
        <x:v>2026-02-06 14:18:10</x:v>
      </x:c>
      <x:c r="P62" t="str"/>
    </x:row>
    <x:row r="63">
      <x:c r="A63" t="str">
        <x:v>JC10313</x:v>
      </x:c>
      <x:c r="B63" t="str">
        <x:v>Value Logistics (Pty) Ltd</x:v>
      </x:c>
      <x:c r="C63" t="str">
        <x:v>IN_Electrical Install (Client subbie)</x:v>
      </x:c>
      <x:c r="D63" t="str">
        <x:v>IN11.1_PT_Awaiting install by client</x:v>
      </x:c>
      <x:c r="E63" t="n">
        <x:v>100</x:v>
      </x:c>
      <x:c r="F63" t="n">
        <x:v>51</x:v>
      </x:c>
      <x:c r="G63" t="str">
        <x:v>Not FF focus</x:v>
      </x:c>
      <x:c r="H63" t="str">
        <x:v>Excluded</x:v>
      </x:c>
      <x:c r="I63" t="str">
        <x:v>Confirm install date/ETA + update JC</x:v>
      </x:c>
      <x:c r="J63" t="str">
        <x:v>Eugene Blanche</x:v>
      </x:c>
      <x:c r="K63" t="str">
        <x:v>eugeneb@wonderlandprop.co.za</x:v>
      </x:c>
      <x:c r="L63" t="str"/>
      <x:c r="M63" t="str">
        <x:v>36823745, MSK93970</x:v>
      </x:c>
      <x:c r="N63" t="str">
        <x:v>Hi Zoë
I trust you are well.
We require a cost quote for a demand meter at Value Express, 87 Maple Rd, Pomona.
The quote is for a meter only plus modem.
Please set up the meter for 500/5 CT’s .
Please include forwarding cost.
We will install and then liaise with Herloux on the day to ensure the meter is set up correctly.
I will send through the meter name details for adding to our meter list.</x:v>
      </x:c>
      <x:c r="O63" t="str">
        <x:v>2026-05-07 08:11:05</x:v>
      </x:c>
      <x:c r="P63" t="str"/>
    </x:row>
    <x:row r="64">
      <x:c r="A64" t="str">
        <x:v>JC10322</x:v>
      </x:c>
      <x:c r="B64" t="str">
        <x:v>Prosperito Residential Fund (Pty) Ltd t/a The Grand Res</x:v>
      </x:c>
      <x:c r="C64" t="str">
        <x:v>IN_Electrical Install (REM Subbie)</x:v>
      </x:c>
      <x:c r="D64" t="str">
        <x:v>SI07_FT_Quote Sent Awaiting Customer Approval</x:v>
      </x:c>
      <x:c r="E64" t="n">
        <x:v>99</x:v>
      </x:c>
      <x:c r="F64" t="n">
        <x:v>98</x:v>
      </x:c>
      <x:c r="G64" t="str">
        <x:v>Not FF focus</x:v>
      </x:c>
      <x:c r="H64" t="str">
        <x:v>Excluded</x:v>
      </x:c>
      <x:c r="I64" t="str">
        <x:v>Follow up quote approval weekly + add JC comment</x:v>
      </x:c>
      <x:c r="J64" t="str">
        <x:v>Melinda Botha</x:v>
      </x:c>
      <x:c r="K64" t="str">
        <x:v>admin@thegrandres.co.za</x:v>
      </x:c>
      <x:c r="L64" t="str"/>
      <x:c r="M64" t="str"/>
      <x:c r="N64" t="str">
        <x:v>Quotation required for 5x Single phase meters with 5x internal modems.</x:v>
      </x:c>
      <x:c r="O64" t="str">
        <x:v>2026-02-12 12:46:34</x:v>
      </x:c>
      <x:c r="P64" t="str"/>
    </x:row>
    <x:row r="65">
      <x:c r="A65" t="str">
        <x:v>JC10332</x:v>
      </x:c>
      <x:c r="B65" t="str">
        <x:v>Vestspruit Suites (Pty) Ltd</x:v>
      </x:c>
      <x:c r="C65" t="str">
        <x:v>IN_Electrical Install (REM Subbie)</x:v>
      </x:c>
      <x:c r="D65" t="str">
        <x:v>SI03.1_PT_Inspection Capture Info</x:v>
      </x:c>
      <x:c r="E65" t="n">
        <x:v>97</x:v>
      </x:c>
      <x:c r="F65" t="n">
        <x:v>56</x:v>
      </x:c>
      <x:c r="G65" t="str">
        <x:v>Not FF focus</x:v>
      </x:c>
      <x:c r="H65" t="str">
        <x:v>Excluded</x:v>
      </x:c>
      <x:c r="I65" t="str">
        <x:v>Check current status + add clear JC comment</x:v>
      </x:c>
      <x:c r="J65" t="str">
        <x:v>Deon Bekker</x:v>
      </x:c>
      <x:c r="K65" t="str">
        <x:v>dbecker@trueprop.co.za</x:v>
      </x:c>
      <x:c r="L65" t="str"/>
      <x:c r="M65" t="str"/>
      <x:c r="N65" t="str">
        <x:v>Please arrange for a quote to install a muni check meter.
9 Galaxy Ave, Frankenwald, Sandton, 2090
Fresenius Medical Care
Deon Becker
Facilities Manager
Email: DBecker@trueprop.co.za
Cel: +27 (0) 73 860 1128
Tel: +27 (0) 11 486 4970
Web: www.trueprop.co.za</x:v>
      </x:c>
      <x:c r="O65" t="str">
        <x:v>2026-03-26 13:02:36</x:v>
      </x:c>
      <x:c r="P65" t="str"/>
    </x:row>
    <x:row r="66">
      <x:c r="A66" t="str">
        <x:v>JC10336</x:v>
      </x:c>
      <x:c r="B66" t="str">
        <x:v>Thermelec</x:v>
      </x:c>
      <x:c r="C66" t="str">
        <x:v>IN_Water Install (Client is installing)</x:v>
      </x:c>
      <x:c r="D66" t="str">
        <x:v>SI07_FT_Quote Sent Awaiting Customer Approval</x:v>
      </x:c>
      <x:c r="E66" t="n">
        <x:v>94</x:v>
      </x:c>
      <x:c r="F66" t="n">
        <x:v>94</x:v>
      </x:c>
      <x:c r="G66" t="str">
        <x:v>Not FF focus</x:v>
      </x:c>
      <x:c r="H66" t="str">
        <x:v>Excluded</x:v>
      </x:c>
      <x:c r="I66" t="str">
        <x:v>Follow up quote approval weekly + add JC comment</x:v>
      </x:c>
      <x:c r="J66" t="str">
        <x:v>Mike Windsor</x:v>
      </x:c>
      <x:c r="K66" t="str">
        <x:v>mike@thermelec.co.za</x:v>
      </x:c>
      <x:c r="L66" t="str">
        <x:v>0827840191</x:v>
      </x:c>
      <x:c r="M66" t="str"/>
      <x:c r="N66" t="str">
        <x:v>Mike reached out to AE for a quote: (Supply and commission only)
Qtys provided as per AE:
60x gateways
50x Dn20s
1x DN50
10x Pit antennas
60x hrs commissioning fee
(Full list price)
No Site Inspection</x:v>
      </x:c>
      <x:c r="O66" t="str">
        <x:v>2026-03-09 11:47:46</x:v>
      </x:c>
      <x:c r="P66" t="str"/>
    </x:row>
    <x:row r="67">
      <x:c r="A67" t="str">
        <x:v>JC10433</x:v>
      </x:c>
      <x:c r="B67" t="str">
        <x:v>Brunfelsia Investment Holdings (Pty) Ltd C/O Trueprop Property Services (Pty) Ltd</x:v>
      </x:c>
      <x:c r="C67" t="str">
        <x:v>IN_Electrical Install (REM Subbie)</x:v>
      </x:c>
      <x:c r="D67" t="str">
        <x:v>SI03.1_PT_Inspection Capture Info</x:v>
      </x:c>
      <x:c r="E67" t="n">
        <x:v>78</x:v>
      </x:c>
      <x:c r="F67" t="n">
        <x:v>16</x:v>
      </x:c>
      <x:c r="G67" t="str">
        <x:v>Not FF focus</x:v>
      </x:c>
      <x:c r="H67" t="str">
        <x:v>Excluded</x:v>
      </x:c>
      <x:c r="I67" t="str">
        <x:v>Check current status + add clear JC comment</x:v>
      </x:c>
      <x:c r="J67" t="str">
        <x:v>Shane Robinson</x:v>
      </x:c>
      <x:c r="K67" t="str">
        <x:v>SRobinson@trueprop.co.za</x:v>
      </x:c>
      <x:c r="L67" t="str"/>
      <x:c r="M67" t="str"/>
      <x:c r="N67" t="str">
        <x:v>Hi Zoe,
Can you please assist with a quote for the subject property?
Electrical and Water meters.
I would propose that you attend to a site inspection and draw up a single line diagram for the property.
Kind Regards,
Shane Robinson</x:v>
      </x:c>
      <x:c r="O67" t="str">
        <x:v>2026-05-05 10:53:20</x:v>
      </x:c>
      <x:c r="P67" t="str"/>
    </x:row>
    <x:row r="68">
      <x:c r="A68" t="str">
        <x:v>JC10434</x:v>
      </x:c>
      <x:c r="B68" t="str">
        <x:v>Brunfelsia Investment Holdings (Pty) Ltd C/O Trueprop Property Services (Pty) Ltd</x:v>
      </x:c>
      <x:c r="C68" t="str">
        <x:v>IN_Water Install (Client is installing)</x:v>
      </x:c>
      <x:c r="D68" t="str">
        <x:v>SI03.1_PT_Inspection Capture Info</x:v>
      </x:c>
      <x:c r="E68" t="n">
        <x:v>78</x:v>
      </x:c>
      <x:c r="F68" t="n">
        <x:v>7</x:v>
      </x:c>
      <x:c r="G68" t="str">
        <x:v>Not FF focus</x:v>
      </x:c>
      <x:c r="H68" t="str">
        <x:v>Excluded</x:v>
      </x:c>
      <x:c r="I68" t="str">
        <x:v>Check current status + add clear JC comment</x:v>
      </x:c>
      <x:c r="J68" t="str">
        <x:v>Shane Robinson</x:v>
      </x:c>
      <x:c r="K68" t="str">
        <x:v>SRobinson@trueprop.co.za</x:v>
      </x:c>
      <x:c r="L68" t="str"/>
      <x:c r="M68" t="str"/>
      <x:c r="N68" t="str">
        <x:v>Hi Zoe,
Can you please assist with a quote for the subject property?
Electrical and Water meters.
I would propose that you attend to a site inspection and draw up a single line diagram for the property.
Kind Regards,
Shane Robinson</x:v>
      </x:c>
      <x:c r="O68" t="str">
        <x:v>2026-05-14 12:22:12</x:v>
      </x:c>
      <x:c r="P68" t="str"/>
    </x:row>
    <x:row r="69">
      <x:c r="A69" t="str">
        <x:v>JC10501</x:v>
      </x:c>
      <x:c r="B69" t="str">
        <x:v>Inospace 3 Proprietary Limited [Eastleigh Exchange]</x:v>
      </x:c>
      <x:c r="C69" t="str">
        <x:v>IN_Electrical Install (Client subbie)</x:v>
      </x:c>
      <x:c r="D69" t="str">
        <x:v>IN16_PT_Reschedule for a fix (issues found on setup)</x:v>
      </x:c>
      <x:c r="E69" t="n">
        <x:v>69</x:v>
      </x:c>
      <x:c r="F69" t="n">
        <x:v>2</x:v>
      </x:c>
      <x:c r="G69" t="str">
        <x:v>Not FF focus</x:v>
      </x:c>
      <x:c r="H69" t="str">
        <x:v>Excluded</x:v>
      </x:c>
      <x:c r="I69" t="str">
        <x:v>Check current status + add clear JC comment</x:v>
      </x:c>
      <x:c r="J69" t="str">
        <x:v>Leander Grobbelaar</x:v>
      </x:c>
      <x:c r="K69" t="str">
        <x:v>lgrobbelaar@inospace.com</x:v>
      </x:c>
      <x:c r="L69" t="str"/>
      <x:c r="M69" t="str">
        <x:v>36793074, 36793071, MSK85706, MSK93980</x:v>
      </x:c>
      <x:c r="N69" t="str">
        <x:v>Good day
We need 2 new meters to be supplied to eastleigh exchange as we sp...</x:v>
      </x:c>
      <x:c r="O69" t="str">
        <x:v>2026-05-19 11:11:14</x:v>
      </x:c>
      <x:c r="P69" t="str"/>
    </x:row>
    <x:row r="70">
      <x:c r="A70" t="str">
        <x:v>JC10556</x:v>
      </x:c>
      <x:c r="B70" t="str">
        <x:v>Superspar Spargs Butterworh</x:v>
      </x:c>
      <x:c r="C70" t="str">
        <x:v>IN_Electrical Install (REM Subbie)</x:v>
      </x:c>
      <x:c r="D70" t="str">
        <x:v>SI07_FT_Quote Sent Awaiting Customer Approval</x:v>
      </x:c>
      <x:c r="E70" t="n">
        <x:v>58</x:v>
      </x:c>
      <x:c r="F70" t="n">
        <x:v>3</x:v>
      </x:c>
      <x:c r="G70" t="str">
        <x:v>Not FF focus</x:v>
      </x:c>
      <x:c r="H70" t="str">
        <x:v>Excluded</x:v>
      </x:c>
      <x:c r="I70" t="str">
        <x:v>Follow up quote approval weekly + add JC comment</x:v>
      </x:c>
      <x:c r="J70" t="str">
        <x:v>Wayne Preston</x:v>
      </x:c>
      <x:c r="K70" t="str">
        <x:v>wayne@spargs.co.za</x:v>
      </x:c>
      <x:c r="L70" t="str">
        <x:v>0836294100</x:v>
      </x:c>
      <x:c r="M70" t="str"/>
      <x:c r="N70" t="str">
        <x:v>U CAN SOLAR reached out requesting a check meter. They would like to get prof...</x:v>
      </x:c>
      <x:c r="O70" t="str">
        <x:v>2026-05-18 09:53:40</x:v>
      </x:c>
      <x:c r="P70" t="str"/>
    </x:row>
    <x:row r="71">
      <x:c r="A71" t="str">
        <x:v>JC10557</x:v>
      </x:c>
      <x:c r="B71" t="str">
        <x:v>Superspar Spargs Butterworh</x:v>
      </x:c>
      <x:c r="C71" t="str">
        <x:v>IN_Water Install (Client is installing)</x:v>
      </x:c>
      <x:c r="D71" t="str">
        <x:v>SI07_FT_Quote Sent Awaiting Customer Approval</x:v>
      </x:c>
      <x:c r="E71" t="n">
        <x:v>58</x:v>
      </x:c>
      <x:c r="F71" t="n">
        <x:v>3</x:v>
      </x:c>
      <x:c r="G71" t="str">
        <x:v>Not FF focus</x:v>
      </x:c>
      <x:c r="H71" t="str">
        <x:v>Excluded</x:v>
      </x:c>
      <x:c r="I71" t="str">
        <x:v>Follow up quote approval weekly + add JC comment</x:v>
      </x:c>
      <x:c r="J71" t="str">
        <x:v>Wayne Preston</x:v>
      </x:c>
      <x:c r="K71" t="str">
        <x:v>wayne@spargs.co.za</x:v>
      </x:c>
      <x:c r="L71" t="str">
        <x:v>0836294100</x:v>
      </x:c>
      <x:c r="M71" t="str"/>
      <x:c r="N71" t="str">
        <x:v>Client has requested that we quote him on water as well as elec (JC10556).
Wa...</x:v>
      </x:c>
      <x:c r="O71" t="str">
        <x:v>2026-05-18 09:54:17</x:v>
      </x:c>
      <x:c r="P71" t="str"/>
    </x:row>
    <x:row r="72">
      <x:c r="A72" t="str">
        <x:v>JC10597</x:v>
      </x:c>
      <x:c r="B72" t="str">
        <x:v>Richard and Roys Properties (Pty) Ltd</x:v>
      </x:c>
      <x:c r="C72" t="str">
        <x:v>IN_Water Install (Client is installing)</x:v>
      </x:c>
      <x:c r="D72" t="str">
        <x:v>IN15_BT_Billing Scada Setup</x:v>
      </x:c>
      <x:c r="E72" t="n">
        <x:v>56</x:v>
      </x:c>
      <x:c r="F72" t="n">
        <x:v>14</x:v>
      </x:c>
      <x:c r="G72" t="str">
        <x:v>Not FF focus</x:v>
      </x:c>
      <x:c r="H72" t="str">
        <x:v>Excluded</x:v>
      </x:c>
      <x:c r="I72" t="str">
        <x:v>Check current status + add clear JC comment</x:v>
      </x:c>
      <x:c r="J72" t="str">
        <x:v>Chantené Kiewiets</x:v>
      </x:c>
      <x:c r="K72" t="str">
        <x:v>stanfordsquare974@gmail.com</x:v>
      </x:c>
      <x:c r="L72" t="str">
        <x:v>0729701128</x:v>
      </x:c>
      <x:c r="M72" t="str">
        <x:v>54043157, 76685529</x:v>
      </x:c>
      <x:c r="N72" t="str">
        <x:v>Hi Jamie-Lee, 
Would you perhaps know who removed it (i.e was it Republic me...</x:v>
      </x:c>
      <x:c r="O72" t="str">
        <x:v>2026-05-21 12:37:39</x:v>
      </x:c>
      <x:c r="P72" t="str"/>
    </x:row>
    <x:row r="73">
      <x:c r="A73" t="str">
        <x:v>JC10603</x:v>
      </x:c>
      <x:c r="B73" t="str">
        <x:v>Bishops Glen Farm</x:v>
      </x:c>
      <x:c r="C73" t="str">
        <x:v>IN_Electrical Install (REM Subbie)</x:v>
      </x:c>
      <x:c r="D73" t="str">
        <x:v>SI07_FT_Quote Sent Awaiting Customer Approval</x:v>
      </x:c>
      <x:c r="E73" t="n">
        <x:v>52</x:v>
      </x:c>
      <x:c r="F73" t="n">
        <x:v>51</x:v>
      </x:c>
      <x:c r="G73" t="str">
        <x:v>Not FF focus</x:v>
      </x:c>
      <x:c r="H73" t="str">
        <x:v>Excluded</x:v>
      </x:c>
      <x:c r="I73" t="str">
        <x:v>Follow up quote approval weekly + add JC comment</x:v>
      </x:c>
      <x:c r="J73" t="str">
        <x:v>Dylan Berndts</x:v>
      </x:c>
      <x:c r="K73" t="str">
        <x:v>dyllanberndt@yahoo.com</x:v>
      </x:c>
      <x:c r="L73" t="str">
        <x:v>0828902446</x:v>
      </x:c>
      <x:c r="M73" t="str"/>
      <x:c r="N73" t="str">
        <x:v>Morning Donny. Hope you are well bud.
We went to view another site last week....</x:v>
      </x:c>
      <x:c r="O73" t="str">
        <x:v>2026-03-31 16:12:05</x:v>
      </x:c>
      <x:c r="P73" t="str"/>
    </x:row>
    <x:row r="74">
      <x:c r="A74" t="str">
        <x:v>JC10620</x:v>
      </x:c>
      <x:c r="B74" t="str">
        <x:v>Raumix Aggregates</x:v>
      </x:c>
      <x:c r="C74" t="str">
        <x:v>IN_Electrical Install (REM Subbie)</x:v>
      </x:c>
      <x:c r="D74" t="str">
        <x:v>SI07_FT_Quote Sent Awaiting Customer Approval</x:v>
      </x:c>
      <x:c r="E74" t="n">
        <x:v>51</x:v>
      </x:c>
      <x:c r="F74" t="n">
        <x:v>16</x:v>
      </x:c>
      <x:c r="G74" t="str">
        <x:v>Not FF focus</x:v>
      </x:c>
      <x:c r="H74" t="str">
        <x:v>Excluded</x:v>
      </x:c>
      <x:c r="I74" t="str">
        <x:v>Follow up quote approval weekly + add JC comment</x:v>
      </x:c>
      <x:c r="J74" t="str">
        <x:v>Neil Joubert</x:v>
      </x:c>
      <x:c r="K74" t="str">
        <x:v>rossway@raumix.co.za</x:v>
      </x:c>
      <x:c r="L74" t="str">
        <x:v>0788035132</x:v>
      </x:c>
      <x:c r="M74" t="str"/>
      <x:c r="N74" t="str">
        <x:v>Client requested a SI to determine the requirements to meter the whole quarry.</x:v>
      </x:c>
      <x:c r="O74" t="str">
        <x:v>2026-05-05 10:46:34</x:v>
      </x:c>
      <x:c r="P74" t="str"/>
    </x:row>
    <x:row r="75">
      <x:c r="A75" t="str">
        <x:v>JC10622</x:v>
      </x:c>
      <x:c r="B75" t="str">
        <x:v>Raumix Aggregates</x:v>
      </x:c>
      <x:c r="C75" t="str">
        <x:v>IN_Electrical Install (REM Subbie)</x:v>
      </x:c>
      <x:c r="D75" t="str">
        <x:v>SI07_FT_Quote Sent Awaiting Customer Approval</x:v>
      </x:c>
      <x:c r="E75" t="n">
        <x:v>51</x:v>
      </x:c>
      <x:c r="F75" t="n">
        <x:v>16</x:v>
      </x:c>
      <x:c r="G75" t="str">
        <x:v>Not FF focus</x:v>
      </x:c>
      <x:c r="H75" t="str">
        <x:v>Excluded</x:v>
      </x:c>
      <x:c r="I75" t="str">
        <x:v>Follow up quote approval weekly + add JC comment</x:v>
      </x:c>
      <x:c r="J75" t="str">
        <x:v>Obakeng Motlhamme (Donkerhoek)</x:v>
      </x:c>
      <x:c r="K75" t="str">
        <x:v>obakeng.m@raumix.co.za</x:v>
      </x:c>
      <x:c r="L75" t="str">
        <x:v>27769914460</x:v>
      </x:c>
      <x:c r="M75" t="str"/>
      <x:c r="N75" t="str">
        <x:v>U CAN SOLAR site 
Client requested a SI to determine the requirements to meter the whole quarry.</x:v>
      </x:c>
      <x:c r="O75" t="str">
        <x:v>2026-05-05 11:10:55</x:v>
      </x:c>
      <x:c r="P75" t="str"/>
    </x:row>
    <x:row r="76">
      <x:c r="A76" t="str">
        <x:v>JC10623</x:v>
      </x:c>
      <x:c r="B76" t="str">
        <x:v>Raumix Aggregates</x:v>
      </x:c>
      <x:c r="C76" t="str">
        <x:v>IN_Electrical Install (REM Subbie)</x:v>
      </x:c>
      <x:c r="D76" t="str">
        <x:v>SI07_FT_Quote Sent Awaiting Customer Approval</x:v>
      </x:c>
      <x:c r="E76" t="n">
        <x:v>51</x:v>
      </x:c>
      <x:c r="F76" t="n">
        <x:v>16</x:v>
      </x:c>
      <x:c r="G76" t="str">
        <x:v>Not FF focus</x:v>
      </x:c>
      <x:c r="H76" t="str">
        <x:v>Excluded</x:v>
      </x:c>
      <x:c r="I76" t="str">
        <x:v>Follow up quote approval weekly + add JC comment</x:v>
      </x:c>
      <x:c r="J76" t="str">
        <x:v>Kobus Le Roux</x:v>
      </x:c>
      <x:c r="K76" t="str">
        <x:v>kobus.l@raumix.co.za</x:v>
      </x:c>
      <x:c r="L76" t="str">
        <x:v>0714627717</x:v>
      </x:c>
      <x:c r="M76" t="str"/>
      <x:c r="N76" t="str">
        <x:v>Client requested a SI to determine the requirements to meter the whole quarry.</x:v>
      </x:c>
      <x:c r="O76" t="str">
        <x:v>2026-05-05 11:33:23</x:v>
      </x:c>
      <x:c r="P76" t="str"/>
    </x:row>
    <x:row r="77">
      <x:c r="A77" t="str">
        <x:v>JC10614</x:v>
      </x:c>
      <x:c r="B77" t="str">
        <x:v>Holdings 302/308 Pomona (Pty) Ltd</x:v>
      </x:c>
      <x:c r="C77" t="str">
        <x:v>IN_Electrical Install (Client subbie)</x:v>
      </x:c>
      <x:c r="D77" t="str">
        <x:v>IN18_FT_Final invoice and check monthlies</x:v>
      </x:c>
      <x:c r="E77" t="n">
        <x:v>51</x:v>
      </x:c>
      <x:c r="F77" t="n">
        <x:v>6</x:v>
      </x:c>
      <x:c r="G77" t="str">
        <x:v>Not FF focus</x:v>
      </x:c>
      <x:c r="H77" t="str">
        <x:v>Excluded</x:v>
      </x:c>
      <x:c r="I77" t="str">
        <x:v>Check current status + add clear JC comment</x:v>
      </x:c>
      <x:c r="J77" t="str">
        <x:v>Eugene Blanche</x:v>
      </x:c>
      <x:c r="K77" t="str">
        <x:v>eugeneb@wonderlandprop.co.za</x:v>
      </x:c>
      <x:c r="L77" t="str">
        <x:v>0837660112</x:v>
      </x:c>
      <x:c r="M77" t="str">
        <x:v>MSK93889, 36823704</x:v>
      </x:c>
      <x:c r="N77" t="str">
        <x:v>Hi Zoë
I trust you are well.
We require a cost quote for a 5A demand meter for our new laundry at 6 Ring Rd, George.
The quote is for a meter only plus modem.
Please set up the meter for 200/5 CT’s .
Please include forwarding cost – the meter to be sent to Marsha at the Hotel in Wilderness / George.
The electrician in George will install the meter with the new DB and then liaise with Herloux on the day to ensure the meter is set up correctly.
The quote to be made out to:
Holding 302/308 Pomona (Pty) Ltd
P O Box 1667, Bedfordview, 2008
VAT NO: 4120159035
I will send through the meter naming details for adding to our meter list.
Many thanks.
Kind regards,</x:v>
      </x:c>
      <x:c r="O77" t="str">
        <x:v>2026-05-15 14:31:02</x:v>
      </x:c>
      <x:c r="P77" t="str"/>
    </x:row>
    <x:row r="78">
      <x:c r="A78" t="str">
        <x:v>JC10673</x:v>
      </x:c>
      <x:c r="B78" t="str">
        <x:v>Raumix Aggregates</x:v>
      </x:c>
      <x:c r="C78" t="str">
        <x:v>IN_Electrical Install (REM Subbie)</x:v>
      </x:c>
      <x:c r="D78" t="str">
        <x:v>SI02_PT_Inspection Scheduled</x:v>
      </x:c>
      <x:c r="E78" t="n">
        <x:v>38</x:v>
      </x:c>
      <x:c r="F78" t="n">
        <x:v>21</x:v>
      </x:c>
      <x:c r="G78" t="str">
        <x:v>Not FF focus</x:v>
      </x:c>
      <x:c r="H78" t="str">
        <x:v>Excluded</x:v>
      </x:c>
      <x:c r="I78" t="str">
        <x:v>Schedule/confirm tech action</x:v>
      </x:c>
      <x:c r="J78" t="str">
        <x:v>Stephen Grilli (Crushco Quarry)</x:v>
      </x:c>
      <x:c r="K78" t="str">
        <x:v>Stephen.G@raumix.co.za</x:v>
      </x:c>
      <x:c r="L78" t="str">
        <x:v>27836360984</x:v>
      </x:c>
      <x:c r="M78" t="str"/>
      <x:c r="N78" t="str">
        <x:v>Client requested a SI to determine the requirements to meter the whole quarry.</x:v>
      </x:c>
      <x:c r="O78" t="str">
        <x:v>2026-04-30 10:25:21</x:v>
      </x:c>
      <x:c r="P78" t="str"/>
    </x:row>
    <x:row r="79">
      <x:c r="A79" t="str">
        <x:v>JC10685</x:v>
      </x:c>
      <x:c r="B79" t="str">
        <x:v>GONUBIE MOTORS CC</x:v>
      </x:c>
      <x:c r="C79" t="str">
        <x:v>IN_Electrical Install (REM Subbie)</x:v>
      </x:c>
      <x:c r="D79" t="str">
        <x:v>SI07_FT_Quote Sent Awaiting Customer Approval</x:v>
      </x:c>
      <x:c r="E79" t="n">
        <x:v>36</x:v>
      </x:c>
      <x:c r="F79" t="n">
        <x:v>30</x:v>
      </x:c>
      <x:c r="G79" t="str">
        <x:v>Not FF focus</x:v>
      </x:c>
      <x:c r="H79" t="str">
        <x:v>Excluded</x:v>
      </x:c>
      <x:c r="I79" t="str">
        <x:v>Follow up quote approval weekly + add JC comment</x:v>
      </x:c>
      <x:c r="J79" t="str">
        <x:v>Mike J Smith</x:v>
      </x:c>
      <x:c r="K79" t="str">
        <x:v>Mjsmith@bos.co.za</x:v>
      </x:c>
      <x:c r="L79" t="str">
        <x:v>0832271894</x:v>
      </x:c>
      <x:c r="M79" t="str"/>
      <x:c r="N79" t="str">
        <x:v>U CAN SOLAR Site
Mike from Gonubie Motor requested a quote for a muni check meter.</x:v>
      </x:c>
      <x:c r="O79" t="str">
        <x:v>2026-04-28 08:49:44</x:v>
      </x:c>
      <x:c r="P79" t="str"/>
    </x:row>
    <x:row r="80">
      <x:c r="A80" t="str">
        <x:v>JC10684</x:v>
      </x:c>
      <x:c r="B80" t="str">
        <x:v>Wynberg Works Body Corporate C/O De Lucia Properties (Pty) Ltd</x:v>
      </x:c>
      <x:c r="C80" t="str">
        <x:v>IN_Electrical Install (Client subbie)</x:v>
      </x:c>
      <x:c r="D80" t="str">
        <x:v>IN11.1_PT_Awaiting install by client</x:v>
      </x:c>
      <x:c r="E80" t="n">
        <x:v>36</x:v>
      </x:c>
      <x:c r="F80" t="n">
        <x:v>21</x:v>
      </x:c>
      <x:c r="G80" t="str">
        <x:v>Not FF focus</x:v>
      </x:c>
      <x:c r="H80" t="str">
        <x:v>Excluded</x:v>
      </x:c>
      <x:c r="I80" t="str">
        <x:v>Confirm install date/ETA + update JC</x:v>
      </x:c>
      <x:c r="J80" t="str">
        <x:v>Annecke de Clerk</x:v>
      </x:c>
      <x:c r="K80" t="str">
        <x:v>anneckedc@delucia.co.za</x:v>
      </x:c>
      <x:c r="L80" t="str"/>
      <x:c r="M80" t="str"/>
      <x:c r="N80" t="str">
        <x:v>Replace Unit 15.1
Prepaid meter - Citiq #54746791372
Single Phase meter</x:v>
      </x:c>
      <x:c r="O80" t="str">
        <x:v>2026-05-08 10:24:05</x:v>
      </x:c>
      <x:c r="P80" t="str"/>
    </x:row>
    <x:row r="81">
      <x:c r="A81" t="str">
        <x:v>JC10710</x:v>
      </x:c>
      <x:c r="B81" t="str">
        <x:v>Vimba Trading (Pty) Ltd</x:v>
      </x:c>
      <x:c r="C81" t="str">
        <x:v>IN_Electrical Install (REM Subbie)</x:v>
      </x:c>
      <x:c r="D81" t="str">
        <x:v>SI07_FT_Quote Sent Awaiting Customer Approval</x:v>
      </x:c>
      <x:c r="E81" t="n">
        <x:v>30</x:v>
      </x:c>
      <x:c r="F81" t="n">
        <x:v>28</x:v>
      </x:c>
      <x:c r="G81" t="str">
        <x:v>Not FF focus</x:v>
      </x:c>
      <x:c r="H81" t="str">
        <x:v>Excluded</x:v>
      </x:c>
      <x:c r="I81" t="str">
        <x:v>Follow up quote approval weekly + add JC comment</x:v>
      </x:c>
      <x:c r="J81" t="str">
        <x:v>Jessica Kennedy</x:v>
      </x:c>
      <x:c r="K81" t="str">
        <x:v>jess@wildcoast.co.za</x:v>
      </x:c>
      <x:c r="L81" t="str"/>
      <x:c r="M81" t="str"/>
      <x:c r="N81" t="str">
        <x:v>Good morning Chelsea,
I hope you are well.
Please could you forward this to the relevant person if not you.
Russell's has a second tenant running off of their electrical supply - is it
possible for you to install a meter to monitor that so the second tenant can
pay Russell's for their consumption?
Kind regards,
Jess
SenseCo</x:v>
      </x:c>
      <x:c r="O81" t="str">
        <x:v>2026-04-28 08:41:57</x:v>
      </x:c>
      <x:c r="P81" t="str"/>
    </x:row>
    <x:row r="82">
      <x:c r="A82" t="str">
        <x:v>JC10721</x:v>
      </x:c>
      <x:c r="B82" t="str">
        <x:v>Dorbyl Uitenhage (EBOR)</x:v>
      </x:c>
      <x:c r="C82" t="str">
        <x:v>IN_Electrical Install (REM Subbie)</x:v>
      </x:c>
      <x:c r="D82" t="str">
        <x:v>SI02_PT_Inspection Scheduled</x:v>
      </x:c>
      <x:c r="E82" t="n">
        <x:v>29</x:v>
      </x:c>
      <x:c r="F82" t="n">
        <x:v>29</x:v>
      </x:c>
      <x:c r="G82" t="str">
        <x:v>Not FF focus</x:v>
      </x:c>
      <x:c r="H82" t="str">
        <x:v>Excluded</x:v>
      </x:c>
      <x:c r="I82" t="str">
        <x:v>Schedule/confirm tech action</x:v>
      </x:c>
      <x:c r="J82" t="str">
        <x:v>Brendon Naidoo</x:v>
      </x:c>
      <x:c r="K82" t="str">
        <x:v>brendon@ebor.co.za</x:v>
      </x:c>
      <x:c r="L82" t="str">
        <x:v>0826026138</x:v>
      </x:c>
      <x:c r="M82" t="str"/>
      <x:c r="N82" t="str">
        <x:v>Ebor - They want their own internal meter/s to quantify their usage and compare with the bill that they are receiving from SKG?</x:v>
      </x:c>
      <x:c r="O82" t="str">
        <x:v>2026-05-14 12:12:26</x:v>
      </x:c>
      <x:c r="P82" t="str"/>
    </x:row>
    <x:row r="83">
      <x:c r="A83" t="str">
        <x:v>JC10723</x:v>
      </x:c>
      <x:c r="B83" t="str">
        <x:v>GM Industrial Park Body Corporate (SLA)</x:v>
      </x:c>
      <x:c r="C83" t="str">
        <x:v>IN_Electrical Install (Client subbie)</x:v>
      </x:c>
      <x:c r="D83" t="str">
        <x:v>IN11.1_PT_Awaiting install by client</x:v>
      </x:c>
      <x:c r="E83" t="n">
        <x:v>29</x:v>
      </x:c>
      <x:c r="F83" t="n">
        <x:v>2</x:v>
      </x:c>
      <x:c r="G83" t="str">
        <x:v>Not FF focus</x:v>
      </x:c>
      <x:c r="H83" t="str">
        <x:v>Excluded</x:v>
      </x:c>
      <x:c r="I83" t="str">
        <x:v>Confirm install date/ETA + update JC</x:v>
      </x:c>
      <x:c r="J83" t="str">
        <x:v>Neill Hodgskin</x:v>
      </x:c>
      <x:c r="K83" t="str">
        <x:v>maintenance@bmiza.com</x:v>
      </x:c>
      <x:c r="L83" t="str">
        <x:v>0719007429</x:v>
      </x:c>
      <x:c r="M83" t="str"/>
      <x:c r="N83" t="str">
        <x:v>QRY10216 created for a stock sale as Leshay did not have more details of the ...</x:v>
      </x:c>
      <x:c r="O83" t="str">
        <x:v>2026-05-21 09:55:53</x:v>
      </x:c>
      <x:c r="P83" t="str"/>
    </x:row>
    <x:row r="84">
      <x:c r="A84" t="str">
        <x:v>JC10725</x:v>
      </x:c>
      <x:c r="B84" t="str">
        <x:v>Robhoek Farm</x:v>
      </x:c>
      <x:c r="C84" t="str">
        <x:v>IN_Electrical Install (REM Subbie)</x:v>
      </x:c>
      <x:c r="D84" t="str">
        <x:v>IN11.2_PT_Schedule REM Tech installation/commission</x:v>
      </x:c>
      <x:c r="E84" t="n">
        <x:v>28</x:v>
      </x:c>
      <x:c r="F84" t="n">
        <x:v>7</x:v>
      </x:c>
      <x:c r="G84" t="str">
        <x:v>Not FF focus</x:v>
      </x:c>
      <x:c r="H84" t="str">
        <x:v>Excluded</x:v>
      </x:c>
      <x:c r="I84" t="str">
        <x:v>Schedule/confirm tech action</x:v>
      </x:c>
      <x:c r="J84" t="str">
        <x:v>Nigel Lok</x:v>
      </x:c>
      <x:c r="K84" t="str">
        <x:v>nigel@robhoek.co.za</x:v>
      </x:c>
      <x:c r="L84" t="str"/>
      <x:c r="M84" t="str"/>
      <x:c r="N84" t="str">
        <x:v>U CAN SOLAR Site
Need price to fit 2 meters , 300amp split core ct’s in Tsit...</x:v>
      </x:c>
      <x:c r="O84" t="str">
        <x:v>2026-05-19 10:58:40</x:v>
      </x:c>
      <x:c r="P84" t="str"/>
    </x:row>
    <x:row r="85">
      <x:c r="A85" t="str">
        <x:v>JC10729</x:v>
      </x:c>
      <x:c r="B85" t="str">
        <x:v>Bellingan Properties (Pty) Ltd</x:v>
      </x:c>
      <x:c r="C85" t="str">
        <x:v>IN_Electrical Install (Client subbie)</x:v>
      </x:c>
      <x:c r="D85" t="str">
        <x:v>SI07_FT_Quote Sent Awaiting Customer Approval</x:v>
      </x:c>
      <x:c r="E85" t="n">
        <x:v>28</x:v>
      </x:c>
      <x:c r="F85" t="n">
        <x:v>7</x:v>
      </x:c>
      <x:c r="G85" t="str">
        <x:v>Not FF focus</x:v>
      </x:c>
      <x:c r="H85" t="str">
        <x:v>Excluded</x:v>
      </x:c>
      <x:c r="I85" t="str">
        <x:v>Follow up quote approval weekly + add JC comment</x:v>
      </x:c>
      <x:c r="J85" t="str">
        <x:v>Aldo Bellingan</x:v>
      </x:c>
      <x:c r="K85" t="str">
        <x:v>aldo@bellinganproperties.co.za</x:v>
      </x:c>
      <x:c r="L85" t="str">
        <x:v>0713824803</x:v>
      </x:c>
      <x:c r="M85" t="str"/>
      <x:c r="N85" t="str">
        <x:v>Can we please get a quote for a single phase, inline meter, for a 63amp singl...</x:v>
      </x:c>
      <x:c r="O85" t="str">
        <x:v>2026-05-14 15:56:24</x:v>
      </x:c>
      <x:c r="P85" t="str"/>
    </x:row>
    <x:row r="86">
      <x:c r="A86" t="str">
        <x:v>JC10775</x:v>
      </x:c>
      <x:c r="B86" t="str">
        <x:v>East Cape Farms (Pty)Ltd</x:v>
      </x:c>
      <x:c r="C86" t="str">
        <x:v>IN_Electrical Install (REM Subbie)</x:v>
      </x:c>
      <x:c r="D86" t="str">
        <x:v>SI07_FT_Quote Sent Awaiting Customer Approval</x:v>
      </x:c>
      <x:c r="E86" t="n">
        <x:v>17</x:v>
      </x:c>
      <x:c r="F86" t="n">
        <x:v>16</x:v>
      </x:c>
      <x:c r="G86" t="str">
        <x:v>Not FF focus</x:v>
      </x:c>
      <x:c r="H86" t="str">
        <x:v>Excluded</x:v>
      </x:c>
      <x:c r="I86" t="str">
        <x:v>Follow up quote approval weekly + add JC comment</x:v>
      </x:c>
      <x:c r="J86" t="str">
        <x:v>Garick Christiani</x:v>
      </x:c>
      <x:c r="K86" t="str">
        <x:v>ecf@ecffarming.co.za</x:v>
      </x:c>
      <x:c r="L86" t="str">
        <x:v>0833210131</x:v>
      </x:c>
      <x:c r="M86" t="str"/>
      <x:c r="N86" t="str">
        <x:v>U CAN SOLAR Site 
Ant requested that we quote this client for 2x check meter...</x:v>
      </x:c>
      <x:c r="O86" t="str">
        <x:v>2026-05-05 11:19:29</x:v>
      </x:c>
      <x:c r="P86" t="str"/>
    </x:row>
    <x:row r="87">
      <x:c r="A87" t="str">
        <x:v>JC10803</x:v>
      </x:c>
      <x:c r="B87" t="str">
        <x:v>Mabovula Butchery KWY (Pty) Ltd</x:v>
      </x:c>
      <x:c r="C87" t="str">
        <x:v>IN_Electrical Install (REM Subbie)</x:v>
      </x:c>
      <x:c r="D87" t="str">
        <x:v>IN13.1_PT_Install complete capture info</x:v>
      </x:c>
      <x:c r="E87" t="n">
        <x:v>14</x:v>
      </x:c>
      <x:c r="F87" t="n">
        <x:v>2</x:v>
      </x:c>
      <x:c r="G87" t="str">
        <x:v>Not FF focus</x:v>
      </x:c>
      <x:c r="H87" t="str">
        <x:v>Excluded</x:v>
      </x:c>
      <x:c r="I87" t="str">
        <x:v>Check current status + add clear JC comment</x:v>
      </x:c>
      <x:c r="J87" t="str">
        <x:v>Butchery KWY (Pty) Ltd</x:v>
      </x:c>
      <x:c r="K87" t="str">
        <x:v>mabovulakwt@gmail.com</x:v>
      </x:c>
      <x:c r="L87" t="str"/>
      <x:c r="M87" t="str"/>
      <x:c r="N87" t="str">
        <x:v>Justin to commission the existing kamstrup meter measuring the PV.  We will invoice Gareth afterwards for the modem and commissioning. As requested by Gareth Mack</x:v>
      </x:c>
      <x:c r="O87" t="str">
        <x:v>2026-05-19 08:24:49</x:v>
      </x:c>
      <x:c r="P87" t="str"/>
    </x:row>
    <x:row r="88">
      <x:c r="A88" t="str">
        <x:v>JC10825</x:v>
      </x:c>
      <x:c r="B88" t="str">
        <x:v>U CAN SOLAR (Pty) Ltd</x:v>
      </x:c>
      <x:c r="C88" t="str">
        <x:v>IN_Electrical Install (REM Subbie)</x:v>
      </x:c>
      <x:c r="D88" t="str">
        <x:v>IN18_FT_Final invoice and check monthlies</x:v>
      </x:c>
      <x:c r="E88" t="n">
        <x:v>7</x:v>
      </x:c>
      <x:c r="F88" t="n">
        <x:v>6</x:v>
      </x:c>
      <x:c r="G88" t="str">
        <x:v>Not FF focus</x:v>
      </x:c>
      <x:c r="H88" t="str">
        <x:v>Excluded</x:v>
      </x:c>
      <x:c r="I88" t="str">
        <x:v>Check current status + add clear JC comment</x:v>
      </x:c>
      <x:c r="J88" t="str">
        <x:v>Anthony Schwedhelm</x:v>
      </x:c>
      <x:c r="K88" t="str">
        <x:v>Ant@u-cansolar.co.za</x:v>
      </x:c>
      <x:c r="L88" t="str"/>
      <x:c r="M88" t="str"/>
      <x:c r="N88" t="str">
        <x:v>Data importing.</x:v>
      </x:c>
      <x:c r="O88" t="str">
        <x:v>2026-05-15 10:39:46</x:v>
      </x:c>
      <x:c r="P88" t="str"/>
    </x:row>
    <x:row r="89">
      <x:c r="A89" t="str">
        <x:v>JC10830</x:v>
      </x:c>
      <x:c r="B89" t="str">
        <x:v>Energyworx</x:v>
      </x:c>
      <x:c r="C89" t="str">
        <x:v>IN_Electrical Install (Client subbie)</x:v>
      </x:c>
      <x:c r="D89" t="str">
        <x:v>IN13.1_PT_Install complete capture info</x:v>
      </x:c>
      <x:c r="E89" t="n">
        <x:v>6</x:v>
      </x:c>
      <x:c r="F89" t="n">
        <x:v>6</x:v>
      </x:c>
      <x:c r="G89" t="str">
        <x:v>Not FF focus</x:v>
      </x:c>
      <x:c r="H89" t="str">
        <x:v>Excluded</x:v>
      </x:c>
      <x:c r="I89" t="str">
        <x:v>Check current status + add clear JC comment</x:v>
      </x:c>
      <x:c r="J89" t="str">
        <x:v>Khaled El-Jabi</x:v>
      </x:c>
      <x:c r="K89" t="str">
        <x:v>khaled@energyworxsa.com</x:v>
      </x:c>
      <x:c r="L89" t="str">
        <x:v>0734541412</x:v>
      </x:c>
      <x:c r="M89" t="str"/>
      <x:c r="N89" t="str">
        <x:v>Please can you get the info of what these three meters measure? We need to update scada and then pass on to billing to upload.
35779523 - EDEN VIEW
35779525 - EDEN VIEW
35779536 - EDEN VIEW</x:v>
      </x:c>
      <x:c r="O89" t="str">
        <x:v>2026-05-15 15:16:57</x:v>
      </x:c>
      <x:c r="P89" t="str"/>
    </x:row>
  </x:sheetData>
  <x:conditionalFormatting sqref="H2:H200">
    <x:cfRule type="expression" dxfId="0" priority="1">
      <x:formula>$H2="Overdue"</x:formula>
    </x:cfRule>
    <x:cfRule type="expression" dxfId="1" priority="2">
      <x:formula>$H2="Escalate Today"</x:formula>
    </x:cfRule>
    <x:cfRule type="expression" dxfId="2" priority="3">
      <x:formula>$H2="Warning"</x:formula>
    </x:cfRule>
    <x:cfRule type="expression" dxfId="3" priority="4">
      <x:formula>$H2="On Track"</x:formula>
    </x:cfRule>
  </x:conditionalFormatting>
  <x:pageMargins left="0.7" right="0.7" top="0.75" bottom="0.75" header="0.3" footer="0.3"/>
  <x:tableParts count="1">
    <x:tablePart xmlns:r="http://schemas.openxmlformats.org/officeDocument/2006/relationships" r:id="Re5eca8ca7d94476b"/>
  </x:tableParts>
</x:worksheet>
</file>

<file path=xl/worksheets/sheet4.xml><?xml version="1.0" encoding="utf-8"?>
<x:worksheet xmlns:x="http://schemas.openxmlformats.org/spreadsheetml/2006/main">
  <x:sheetFormatPr defaultRowHeight="15"/>
  <x:cols>
    <x:col min="1" max="1" width="24.5" hidden="0" customWidth="1"/>
    <x:col min="2" max="2" width="90" hidden="0" customWidth="1"/>
  </x:cols>
  <x:sheetData>
    <x:row r="1" ht="30" customHeight="1">
      <x:c r="A1" s="31" t="str">
        <x:v>Fault Fix JC KPI Rules</x:v>
      </x:c>
      <x:c r="B1" t="str"/>
    </x:row>
    <x:row r="2">
      <x:c r="A2" s="33" t="str">
        <x:v>Scope</x:v>
      </x:c>
      <x:c r="B2" s="29" t="str">
        <x:v>FF fault-fix job cards for comms issues / relevant water meter replacements. Exclude fault fixes opened for other reasons.</x:v>
      </x:c>
    </x:row>
    <x:row r="3">
      <x:c r="A3" s="33" t="str">
        <x:v>Day 0</x:v>
      </x:c>
      <x:c r="B3" s="29" t="str">
        <x:v>JC created. Start remote investigation immediately.</x:v>
      </x:c>
    </x:row>
    <x:row r="4">
      <x:c r="A4" s="33" t="str">
        <x:v>Day 0-2</x:v>
      </x:c>
      <x:c r="B4" s="29" t="str">
        <x:v>Two working days to troubleshoot remotely. Add evidence/comments on JC.</x:v>
      </x:c>
    </x:row>
    <x:row r="5">
      <x:c r="A5" s="33" t="str">
        <x:v>End day 2</x:v>
      </x:c>
      <x:c r="B5" s="29" t="str">
        <x:v>If unresolved and cause unknown, send first client email asking if anything changed on site. Comment JC with email sent.</x:v>
      </x:c>
    </x:row>
    <x:row r="6">
      <x:c r="A6" s="33" t="str">
        <x:v>Hardware identified</x:v>
      </x:c>
      <x:c r="B6" s="29" t="str">
        <x:v>If system evidence shows hardware/call-out required, pass to Zoe to quote.</x:v>
      </x:c>
    </x:row>
    <x:row r="7">
      <x:c r="A7" s="33" t="str">
        <x:v>End day 4-5</x:v>
      </x:c>
      <x:c r="B7" s="29" t="str">
        <x:v>If no feedback after two working days, call client. If no answer, try again same day and next day.</x:v>
      </x:c>
    </x:row>
    <x:row r="8">
      <x:c r="A8" s="33" t="str">
        <x:v>Day 6</x:v>
      </x:c>
      <x:c r="B8" s="29" t="str">
        <x:v>If client cannot be reached, communicate to Lindy and agree a plan of action. Involve management if needed.</x:v>
      </x:c>
    </x:row>
    <x:row r="9">
      <x:c r="A9" s="33" t="str">
        <x:v>Client did something on site</x:v>
      </x:c>
      <x:c r="B9" s="29" t="str">
        <x:v>Update JC and SCADA meter with METER OFF / related comment and who confirmed it.</x:v>
      </x:c>
    </x:row>
    <x:row r="10">
      <x:c r="A10" s="33" t="str">
        <x:v>Client did nothing on site</x:v>
      </x:c>
      <x:c r="B10" s="29" t="str">
        <x:v>Get approval to send someone to site and add JC comment.</x:v>
      </x:c>
    </x:row>
    <x:row r="11">
      <x:c r="A11" s="33" t="str">
        <x:v>Quote follow-up</x:v>
      </x:c>
      <x:c r="B11" s="29" t="str">
        <x:v>For hardware replacement quotes, follow up weekly via email or call + follow-up email. Add all proof to JC comments.</x:v>
      </x:c>
    </x:row>
    <x:row r="12">
      <x:c r="A12" s="33" t="str">
        <x:v>Comment standard</x:v>
      </x:c>
      <x:c r="B12" s="29" t="str">
        <x:v>Every JC step must include who was contacted, method, date, outcome, and next action.</x:v>
      </x:c>
    </x:row>
  </x:sheetData>
  <x:mergeCells>
    <x:mergeCell ref="A1:B1"/>
  </x:mergeCells>
  <x:pageMargins left="0.7" right="0.7" top="0.75" bottom="0.75" header="0.3" footer="0.3"/>
</x:worksheet>
</file>